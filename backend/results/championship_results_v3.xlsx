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ikha\Documents\FPL\fpl-management\results\"/>
    </mc:Choice>
  </mc:AlternateContent>
  <xr:revisionPtr revIDLastSave="0" documentId="13_ncr:1_{AEAC5D93-54EF-4413-87F6-08AB564604C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mplate" sheetId="1" r:id="rId1"/>
    <sheet name="GW3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2" l="1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AB23" i="2"/>
  <c r="AA23" i="2"/>
  <c r="Z23" i="2"/>
  <c r="Y23" i="2"/>
  <c r="X23" i="2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AB23" i="1"/>
  <c r="AA23" i="1"/>
  <c r="Z23" i="1"/>
  <c r="Y23" i="1"/>
  <c r="X23" i="1"/>
  <c r="W23" i="1"/>
</calcChain>
</file>

<file path=xl/sharedStrings.xml><?xml version="1.0" encoding="utf-8"?>
<sst xmlns="http://schemas.openxmlformats.org/spreadsheetml/2006/main" count="384" uniqueCount="137">
  <si>
    <t>Table</t>
  </si>
  <si>
    <t>Additional Stats</t>
  </si>
  <si>
    <t>Title</t>
  </si>
  <si>
    <t>Reward*</t>
  </si>
  <si>
    <t>Position</t>
  </si>
  <si>
    <t>Team</t>
  </si>
  <si>
    <t>Owner</t>
  </si>
  <si>
    <t>Points</t>
  </si>
  <si>
    <t>Wins</t>
  </si>
  <si>
    <t>Draws</t>
  </si>
  <si>
    <t>Losses</t>
  </si>
  <si>
    <t>GP</t>
  </si>
  <si>
    <t>Games Left</t>
  </si>
  <si>
    <t>Score</t>
  </si>
  <si>
    <t>Score Against</t>
  </si>
  <si>
    <t>Plus/Minus</t>
  </si>
  <si>
    <t>GW Points on Bench</t>
  </si>
  <si>
    <t>Season Points on Bench</t>
  </si>
  <si>
    <t>GW Transfers</t>
  </si>
  <si>
    <t>GW Transfer Hit</t>
  </si>
  <si>
    <t>Total Transfers Made</t>
  </si>
  <si>
    <t>Total Transfer Hit</t>
  </si>
  <si>
    <t>Highest Point Total Possible</t>
  </si>
  <si>
    <t>Current Team Value</t>
  </si>
  <si>
    <t>Wildcard 1</t>
  </si>
  <si>
    <t>Wildcard 2</t>
  </si>
  <si>
    <t>Free Hit</t>
  </si>
  <si>
    <t>Triple Captain</t>
  </si>
  <si>
    <t>Bench Boost</t>
  </si>
  <si>
    <t>AssMan</t>
  </si>
  <si>
    <t>Champion</t>
  </si>
  <si>
    <t>Promotion</t>
  </si>
  <si>
    <t>Upper Mid</t>
  </si>
  <si>
    <t>Battle of The Mid</t>
  </si>
  <si>
    <t>Shame</t>
  </si>
  <si>
    <t>Chip Usage</t>
  </si>
  <si>
    <t>GW X Preview (Deadline: Day Month Dateth @ 3AM PST/6AM EST)</t>
  </si>
  <si>
    <t>Null</t>
  </si>
  <si>
    <t>Matchup 1</t>
  </si>
  <si>
    <t>Teams</t>
  </si>
  <si>
    <t>Descr</t>
  </si>
  <si>
    <t>-</t>
  </si>
  <si>
    <t>Match 2</t>
  </si>
  <si>
    <t>Match 3</t>
  </si>
  <si>
    <t>Table By Score</t>
  </si>
  <si>
    <t>loading…</t>
  </si>
  <si>
    <t>AP</t>
  </si>
  <si>
    <t>Team And Current Difficulty Ranking</t>
  </si>
  <si>
    <t>Owner and Previous DR</t>
  </si>
  <si>
    <t>Next Opponent</t>
  </si>
  <si>
    <t>Rating</t>
  </si>
  <si>
    <t>Fixture Difficulty Ratings (FDR) follow the same logic as the ones FPL uses to rank a player's upcoming matches.</t>
  </si>
  <si>
    <t>Rankings are 1-5. 1 = "easier",  5 = "harder".</t>
  </si>
  <si>
    <t>TylerQ</t>
  </si>
  <si>
    <t>Tyler Quedens</t>
  </si>
  <si>
    <t>104.0</t>
  </si>
  <si>
    <t>GW8</t>
  </si>
  <si>
    <t>GW30</t>
  </si>
  <si>
    <t>GW34</t>
  </si>
  <si>
    <t>GW24</t>
  </si>
  <si>
    <t>GW37</t>
  </si>
  <si>
    <t>GW25</t>
  </si>
  <si>
    <t>Archie Come Home</t>
  </si>
  <si>
    <t>Aj Pepperney</t>
  </si>
  <si>
    <t>102.0</t>
  </si>
  <si>
    <t>GW29</t>
  </si>
  <si>
    <t>GW38</t>
  </si>
  <si>
    <t>Cech Mate</t>
  </si>
  <si>
    <t>Tyler Neal</t>
  </si>
  <si>
    <t>101.6</t>
  </si>
  <si>
    <t>GW5</t>
  </si>
  <si>
    <t>GW36</t>
  </si>
  <si>
    <t>Peps Lads</t>
  </si>
  <si>
    <t>linden eberle</t>
  </si>
  <si>
    <t>100.6</t>
  </si>
  <si>
    <t>GW33</t>
  </si>
  <si>
    <t>Rolls Rice</t>
  </si>
  <si>
    <t>Zoha Khan</t>
  </si>
  <si>
    <t>100.5</t>
  </si>
  <si>
    <t>GW22</t>
  </si>
  <si>
    <t>AVERAGE</t>
  </si>
  <si>
    <t>AVERAGE (bot)</t>
  </si>
  <si>
    <t>100.0</t>
  </si>
  <si>
    <t>Change Name</t>
  </si>
  <si>
    <t>Brynn Miller</t>
  </si>
  <si>
    <t>100.7</t>
  </si>
  <si>
    <t>Bryan Gil FC</t>
  </si>
  <si>
    <t>Aroon Tcholakov</t>
  </si>
  <si>
    <t>103.8</t>
  </si>
  <si>
    <t>GW9</t>
  </si>
  <si>
    <t>FC Wincinnati</t>
  </si>
  <si>
    <t>Alex Quedens</t>
  </si>
  <si>
    <t>100.2</t>
  </si>
  <si>
    <t>GW3</t>
  </si>
  <si>
    <t>GW12</t>
  </si>
  <si>
    <t>GW35</t>
  </si>
  <si>
    <t>GW27</t>
  </si>
  <si>
    <t>Unemployed FC</t>
  </si>
  <si>
    <t>John Saunders</t>
  </si>
  <si>
    <t>98.9</t>
  </si>
  <si>
    <t>GW6</t>
  </si>
  <si>
    <t>GW21</t>
  </si>
  <si>
    <t>Yaikz FC</t>
  </si>
  <si>
    <t>Aiko Dzikowski</t>
  </si>
  <si>
    <t>99.5</t>
  </si>
  <si>
    <t>GW28</t>
  </si>
  <si>
    <t>ReecesPieces</t>
  </si>
  <si>
    <t>Charlie Mullen</t>
  </si>
  <si>
    <t>99.7</t>
  </si>
  <si>
    <t>Project Mbappe</t>
  </si>
  <si>
    <t>Tim Davis</t>
  </si>
  <si>
    <t>98.7</t>
  </si>
  <si>
    <t>Reds_go_marching_on</t>
  </si>
  <si>
    <t>Ken Okine</t>
  </si>
  <si>
    <t>100.3</t>
  </si>
  <si>
    <t>GW2</t>
  </si>
  <si>
    <t>lebron</t>
  </si>
  <si>
    <t>Ben Josiah</t>
  </si>
  <si>
    <t>99.8</t>
  </si>
  <si>
    <t>GW17</t>
  </si>
  <si>
    <t>GW16</t>
  </si>
  <si>
    <t>My team</t>
  </si>
  <si>
    <t>man guy</t>
  </si>
  <si>
    <t>99.1</t>
  </si>
  <si>
    <t>The Tigers</t>
  </si>
  <si>
    <t>Hunter Stemple</t>
  </si>
  <si>
    <t>Manos</t>
  </si>
  <si>
    <t>Casey Manos</t>
  </si>
  <si>
    <t>98.3</t>
  </si>
  <si>
    <t>GW4</t>
  </si>
  <si>
    <t>21iscoming</t>
  </si>
  <si>
    <t>Freddie Wilhelm</t>
  </si>
  <si>
    <t>97.1</t>
  </si>
  <si>
    <t>west ham sandwich</t>
  </si>
  <si>
    <t>Emaly Vatne</t>
  </si>
  <si>
    <t>97.8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</si>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</sst>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\$#,##0_);\(\$#,##0\)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400"/>
      <name val="Calibri"/>
      <family val="2"/>
    </font>
    <font>
      <sz val="11"/>
      <color rgb="FF000000"/>
      <name val="Calibri"/>
      <family val="2"/>
    </font>
    <font>
      <sz val="11"/>
      <color rgb="FFA9A9A9"/>
      <name val="Calibri"/>
      <family val="2"/>
    </font>
    <font>
      <sz val="11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3B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8FB9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E49B"/>
      </patternFill>
    </fill>
    <fill>
      <patternFill patternType="solid">
        <fgColor rgb="FFD9D9D9"/>
      </patternFill>
    </fill>
    <fill>
      <patternFill patternType="solid">
        <fgColor rgb="FFFFE1CC"/>
      </patternFill>
    </fill>
    <fill>
      <patternFill patternType="solid">
        <fgColor rgb="FFFFB3B5"/>
      </patternFill>
    </fill>
    <fill>
      <patternFill patternType="solid">
        <fgColor rgb="FFFFB6C1"/>
      </patternFill>
    </fill>
    <fill>
      <patternFill patternType="solid">
        <fgColor theme="5" tint="0.59999389629810485"/>
        <bgColor indexed="64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"/>
    <xf numFmtId="9" fontId="6" fillId="0" borderId="1"/>
  </cellStyleXfs>
  <cellXfs count="286">
    <xf numFmtId="0" fontId="0" fillId="0" borderId="0" xfId="0" applyBorder="1"/>
    <xf numFmtId="164" fontId="0" fillId="0" borderId="0" xfId="0" applyNumberFormat="1" applyBorder="1"/>
    <xf numFmtId="3" fontId="0" fillId="0" borderId="0" xfId="0" applyNumberFormat="1" applyBorder="1"/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6" fontId="0" fillId="3" borderId="9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6" fontId="0" fillId="4" borderId="23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6" fontId="0" fillId="4" borderId="29" xfId="0" applyNumberForma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6" fontId="0" fillId="5" borderId="36" xfId="0" applyNumberForma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6" fontId="0" fillId="5" borderId="43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6" xfId="0" applyBorder="1"/>
    <xf numFmtId="0" fontId="0" fillId="0" borderId="33" xfId="0" applyBorder="1"/>
    <xf numFmtId="0" fontId="3" fillId="0" borderId="1" xfId="0" applyFont="1"/>
    <xf numFmtId="0" fontId="2" fillId="0" borderId="1" xfId="0" applyFont="1"/>
    <xf numFmtId="0" fontId="3" fillId="0" borderId="1" xfId="0" applyFont="1" applyAlignment="1">
      <alignment vertical="center"/>
    </xf>
    <xf numFmtId="0" fontId="4" fillId="0" borderId="1" xfId="0" applyFont="1" applyAlignment="1">
      <alignment vertical="center"/>
    </xf>
    <xf numFmtId="0" fontId="0" fillId="0" borderId="1" xfId="0" applyAlignment="1">
      <alignment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5" fillId="0" borderId="26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0" fillId="0" borderId="13" xfId="0" applyBorder="1"/>
    <xf numFmtId="0" fontId="0" fillId="0" borderId="40" xfId="0" applyBorder="1"/>
    <xf numFmtId="0" fontId="0" fillId="0" borderId="47" xfId="0" applyBorder="1"/>
    <xf numFmtId="0" fontId="5" fillId="0" borderId="25" xfId="0" applyFont="1" applyBorder="1" applyAlignment="1">
      <alignment horizontal="center" vertical="top"/>
    </xf>
    <xf numFmtId="0" fontId="5" fillId="2" borderId="21" xfId="0" applyFont="1" applyFill="1" applyBorder="1" applyAlignment="1">
      <alignment horizontal="center" vertical="top"/>
    </xf>
    <xf numFmtId="0" fontId="0" fillId="5" borderId="41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21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2" borderId="18" xfId="0" applyFont="1" applyFill="1" applyBorder="1" applyAlignment="1">
      <alignment horizontal="center" vertical="top"/>
    </xf>
    <xf numFmtId="0" fontId="0" fillId="0" borderId="56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5" fillId="2" borderId="13" xfId="0" applyFont="1" applyFill="1" applyBorder="1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60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0" fillId="8" borderId="14" xfId="0" applyFill="1" applyBorder="1" applyAlignment="1">
      <alignment horizontal="center" vertical="center"/>
    </xf>
    <xf numFmtId="9" fontId="0" fillId="8" borderId="61" xfId="1" applyFont="1" applyFill="1" applyBorder="1" applyAlignment="1">
      <alignment horizontal="center" vertical="center"/>
    </xf>
    <xf numFmtId="0" fontId="0" fillId="0" borderId="12" xfId="0" applyBorder="1"/>
    <xf numFmtId="0" fontId="0" fillId="0" borderId="25" xfId="0" applyBorder="1"/>
    <xf numFmtId="0" fontId="0" fillId="0" borderId="32" xfId="0" applyBorder="1"/>
    <xf numFmtId="0" fontId="0" fillId="0" borderId="39" xfId="0" applyBorder="1"/>
    <xf numFmtId="0" fontId="0" fillId="0" borderId="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3" borderId="54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0" fillId="6" borderId="62" xfId="0" applyFill="1" applyBorder="1" applyAlignment="1">
      <alignment horizontal="center"/>
    </xf>
    <xf numFmtId="0" fontId="0" fillId="7" borderId="58" xfId="0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0" fillId="7" borderId="57" xfId="0" applyFill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7" borderId="54" xfId="0" applyFill="1" applyBorder="1" applyAlignment="1">
      <alignment horizontal="center"/>
    </xf>
    <xf numFmtId="0" fontId="0" fillId="7" borderId="55" xfId="0" applyFill="1" applyBorder="1" applyAlignment="1">
      <alignment horizontal="center"/>
    </xf>
    <xf numFmtId="0" fontId="0" fillId="4" borderId="35" xfId="0" applyFill="1" applyBorder="1" applyAlignment="1">
      <alignment horizontal="center" vertical="center"/>
    </xf>
    <xf numFmtId="6" fontId="0" fillId="4" borderId="36" xfId="0" applyNumberFormat="1" applyFill="1" applyBorder="1" applyAlignment="1">
      <alignment horizontal="center" vertical="center"/>
    </xf>
    <xf numFmtId="0" fontId="0" fillId="4" borderId="41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6" fontId="0" fillId="5" borderId="9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53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0" fillId="0" borderId="46" xfId="0" applyBorder="1"/>
    <xf numFmtId="0" fontId="0" fillId="11" borderId="42" xfId="0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top"/>
    </xf>
    <xf numFmtId="0" fontId="7" fillId="2" borderId="64" xfId="0" applyFont="1" applyFill="1" applyBorder="1" applyAlignment="1">
      <alignment horizontal="center" vertical="top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0" fillId="14" borderId="37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17" borderId="36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47" xfId="0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5" borderId="53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4" borderId="45" xfId="0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27" xfId="0" applyBorder="1" applyAlignment="1">
      <alignment horizontal="center" vertical="center"/>
    </xf>
    <xf numFmtId="0" fontId="0" fillId="0" borderId="49" xfId="0" applyBorder="1"/>
    <xf numFmtId="0" fontId="4" fillId="0" borderId="22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32" xfId="0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3" fillId="0" borderId="2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0" xfId="0" applyBorder="1"/>
    <xf numFmtId="0" fontId="4" fillId="0" borderId="2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/>
    <xf numFmtId="0" fontId="0" fillId="0" borderId="39" xfId="0" applyBorder="1"/>
    <xf numFmtId="0" fontId="0" fillId="0" borderId="28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7" xfId="0" applyBorder="1"/>
    <xf numFmtId="0" fontId="0" fillId="0" borderId="63" xfId="0" applyBorder="1"/>
    <xf numFmtId="0" fontId="0" fillId="0" borderId="14" xfId="0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48" xfId="0" applyBorder="1" applyAlignment="1">
      <alignment horizontal="center" vertical="center"/>
    </xf>
    <xf numFmtId="0" fontId="0" fillId="0" borderId="51" xfId="0" applyBorder="1"/>
    <xf numFmtId="0" fontId="4" fillId="0" borderId="1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52" xfId="0" applyBorder="1"/>
    <xf numFmtId="0" fontId="2" fillId="0" borderId="1" xfId="0" applyFont="1" applyBorder="1" applyAlignment="1"/>
    <xf numFmtId="0" fontId="0" fillId="18" borderId="22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53" xfId="0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0" tint="-0.149906918546098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000"/>
  <sheetViews>
    <sheetView zoomScale="70" zoomScaleNormal="70" workbookViewId="0">
      <selection activeCell="AC31" sqref="AC31"/>
    </sheetView>
  </sheetViews>
  <sheetFormatPr defaultRowHeight="15" x14ac:dyDescent="0.25"/>
  <cols>
    <col min="1" max="1" width="19.42578125" bestFit="1" customWidth="1"/>
    <col min="2" max="2" width="13.5703125" style="1" bestFit="1" customWidth="1"/>
    <col min="3" max="3" width="13.5703125" style="2" bestFit="1" customWidth="1"/>
    <col min="4" max="4" width="16.5703125" bestFit="1" customWidth="1"/>
    <col min="5" max="5" width="18.5703125" bestFit="1" customWidth="1"/>
    <col min="11" max="11" width="11" bestFit="1" customWidth="1"/>
    <col min="13" max="13" width="14.140625" customWidth="1"/>
    <col min="14" max="14" width="14" bestFit="1" customWidth="1"/>
    <col min="15" max="15" width="25.28515625" bestFit="1" customWidth="1"/>
    <col min="16" max="16" width="36.42578125" customWidth="1"/>
    <col min="17" max="17" width="26.28515625" customWidth="1"/>
    <col min="18" max="18" width="22.42578125" customWidth="1"/>
    <col min="19" max="20" width="20" bestFit="1" customWidth="1"/>
    <col min="21" max="21" width="26.140625" bestFit="1" customWidth="1"/>
    <col min="22" max="22" width="20" bestFit="1" customWidth="1"/>
    <col min="23" max="23" width="17.28515625" customWidth="1"/>
    <col min="24" max="24" width="13" customWidth="1"/>
    <col min="25" max="25" width="10.42578125" bestFit="1" customWidth="1"/>
    <col min="26" max="26" width="13.42578125" bestFit="1" customWidth="1"/>
    <col min="27" max="27" width="11.85546875" bestFit="1" customWidth="1"/>
    <col min="28" max="28" width="13.140625" customWidth="1"/>
  </cols>
  <sheetData>
    <row r="1" spans="1:28" ht="18.75" customHeight="1" thickBot="1" x14ac:dyDescent="0.3">
      <c r="A1" s="244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45"/>
      <c r="O1" s="255" t="s">
        <v>1</v>
      </c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45"/>
    </row>
    <row r="2" spans="1:28" ht="18.75" customHeight="1" thickBot="1" x14ac:dyDescent="0.3">
      <c r="A2" s="12" t="s">
        <v>2</v>
      </c>
      <c r="B2" s="13" t="s">
        <v>3</v>
      </c>
      <c r="C2" s="16" t="s">
        <v>4</v>
      </c>
      <c r="D2" s="80" t="s">
        <v>5</v>
      </c>
      <c r="E2" s="81" t="s">
        <v>6</v>
      </c>
      <c r="F2" s="88" t="s">
        <v>7</v>
      </c>
      <c r="G2" s="87" t="s">
        <v>8</v>
      </c>
      <c r="H2" s="80" t="s">
        <v>9</v>
      </c>
      <c r="I2" s="81" t="s">
        <v>10</v>
      </c>
      <c r="J2" s="92" t="s">
        <v>11</v>
      </c>
      <c r="K2" s="93" t="s">
        <v>12</v>
      </c>
      <c r="L2" s="82" t="s">
        <v>13</v>
      </c>
      <c r="M2" s="94" t="s">
        <v>14</v>
      </c>
      <c r="N2" s="99" t="s">
        <v>15</v>
      </c>
      <c r="O2" s="82" t="s">
        <v>16</v>
      </c>
      <c r="P2" s="83" t="s">
        <v>17</v>
      </c>
      <c r="Q2" s="82" t="s">
        <v>18</v>
      </c>
      <c r="R2" s="83" t="s">
        <v>19</v>
      </c>
      <c r="S2" s="87" t="s">
        <v>20</v>
      </c>
      <c r="T2" s="81" t="s">
        <v>21</v>
      </c>
      <c r="U2" s="92" t="s">
        <v>22</v>
      </c>
      <c r="V2" s="100" t="s">
        <v>23</v>
      </c>
      <c r="W2" s="100" t="s">
        <v>24</v>
      </c>
      <c r="X2" s="101" t="s">
        <v>25</v>
      </c>
      <c r="Y2" s="101" t="s">
        <v>26</v>
      </c>
      <c r="Z2" s="101" t="s">
        <v>27</v>
      </c>
      <c r="AA2" s="102" t="s">
        <v>28</v>
      </c>
      <c r="AB2" s="102" t="s">
        <v>29</v>
      </c>
    </row>
    <row r="3" spans="1:28" ht="18.75" customHeight="1" thickBot="1" x14ac:dyDescent="0.3">
      <c r="A3" s="20" t="s">
        <v>30</v>
      </c>
      <c r="B3" s="21">
        <v>55</v>
      </c>
      <c r="C3" s="74">
        <v>1</v>
      </c>
      <c r="D3" s="105"/>
      <c r="E3" s="84"/>
      <c r="F3" s="26"/>
      <c r="G3" s="24"/>
      <c r="H3" s="22"/>
      <c r="I3" s="25"/>
      <c r="J3" s="5"/>
      <c r="K3" s="23"/>
      <c r="L3" s="143"/>
      <c r="M3" s="22"/>
      <c r="N3" s="144"/>
      <c r="O3" s="10"/>
      <c r="P3" s="5"/>
      <c r="Q3" s="23"/>
      <c r="R3" s="24"/>
      <c r="S3" s="25"/>
      <c r="T3" s="5"/>
      <c r="U3" s="23"/>
      <c r="V3" s="10"/>
      <c r="W3" s="145"/>
      <c r="X3" s="146"/>
      <c r="Y3" s="147"/>
      <c r="Z3" s="147"/>
      <c r="AA3" s="147"/>
      <c r="AB3" s="147"/>
    </row>
    <row r="4" spans="1:28" ht="18.75" customHeight="1" x14ac:dyDescent="0.25">
      <c r="A4" s="137" t="s">
        <v>31</v>
      </c>
      <c r="B4" s="138">
        <v>45</v>
      </c>
      <c r="C4" s="139">
        <v>2</v>
      </c>
      <c r="D4" s="108"/>
      <c r="E4" s="85"/>
      <c r="F4" s="53"/>
      <c r="G4" s="9"/>
      <c r="H4" s="50"/>
      <c r="I4" s="52"/>
      <c r="J4" s="49"/>
      <c r="K4" s="51"/>
      <c r="L4" s="148"/>
      <c r="M4" s="50"/>
      <c r="N4" s="149"/>
      <c r="O4" s="48"/>
      <c r="P4" s="49"/>
      <c r="Q4" s="51"/>
      <c r="R4" s="9"/>
      <c r="S4" s="52"/>
      <c r="T4" s="49"/>
      <c r="U4" s="51"/>
      <c r="V4" s="48"/>
      <c r="W4" s="150"/>
      <c r="X4" s="151"/>
      <c r="Y4" s="152"/>
      <c r="Z4" s="152"/>
      <c r="AA4" s="152"/>
      <c r="AB4" s="152"/>
    </row>
    <row r="5" spans="1:28" ht="18.75" customHeight="1" x14ac:dyDescent="0.25">
      <c r="A5" s="33" t="s">
        <v>31</v>
      </c>
      <c r="B5" s="34">
        <v>40</v>
      </c>
      <c r="C5" s="75">
        <v>3</v>
      </c>
      <c r="D5" s="106"/>
      <c r="E5" s="63"/>
      <c r="F5" s="38"/>
      <c r="G5" s="3"/>
      <c r="H5" s="96"/>
      <c r="I5" s="37"/>
      <c r="J5" s="7"/>
      <c r="K5" s="36"/>
      <c r="L5" s="153"/>
      <c r="M5" s="96"/>
      <c r="N5" s="36"/>
      <c r="O5" s="35"/>
      <c r="P5" s="7"/>
      <c r="Q5" s="36"/>
      <c r="R5" s="3"/>
      <c r="S5" s="37"/>
      <c r="T5" s="7"/>
      <c r="U5" s="36"/>
      <c r="V5" s="35"/>
      <c r="W5" s="154"/>
      <c r="X5" s="155"/>
      <c r="Y5" s="156"/>
      <c r="Z5" s="156"/>
      <c r="AA5" s="156"/>
      <c r="AB5" s="156"/>
    </row>
    <row r="6" spans="1:28" ht="18.75" customHeight="1" thickBot="1" x14ac:dyDescent="0.3">
      <c r="A6" s="39" t="s">
        <v>31</v>
      </c>
      <c r="B6" s="40">
        <v>30</v>
      </c>
      <c r="C6" s="76">
        <v>4</v>
      </c>
      <c r="D6" s="107"/>
      <c r="E6" s="64"/>
      <c r="F6" s="45"/>
      <c r="G6" s="4"/>
      <c r="H6" s="42"/>
      <c r="I6" s="44"/>
      <c r="J6" s="6"/>
      <c r="K6" s="43"/>
      <c r="L6" s="6"/>
      <c r="M6" s="42"/>
      <c r="N6" s="43"/>
      <c r="O6" s="41"/>
      <c r="P6" s="6"/>
      <c r="Q6" s="43"/>
      <c r="R6" s="4"/>
      <c r="S6" s="44"/>
      <c r="T6" s="6"/>
      <c r="U6" s="43"/>
      <c r="V6" s="41"/>
      <c r="W6" s="157"/>
      <c r="X6" s="158"/>
      <c r="Y6" s="159"/>
      <c r="Z6" s="159"/>
      <c r="AA6" s="159"/>
      <c r="AB6" s="159"/>
    </row>
    <row r="7" spans="1:28" ht="18.75" customHeight="1" x14ac:dyDescent="0.25">
      <c r="A7" s="46" t="s">
        <v>32</v>
      </c>
      <c r="B7" s="47">
        <v>20</v>
      </c>
      <c r="C7" s="89">
        <v>5</v>
      </c>
      <c r="D7" s="108"/>
      <c r="E7" s="85"/>
      <c r="F7" s="53"/>
      <c r="G7" s="9"/>
      <c r="H7" s="50"/>
      <c r="I7" s="52"/>
      <c r="J7" s="49"/>
      <c r="K7" s="51"/>
      <c r="L7" s="49"/>
      <c r="M7" s="50"/>
      <c r="N7" s="160"/>
      <c r="O7" s="48"/>
      <c r="P7" s="49"/>
      <c r="Q7" s="51"/>
      <c r="R7" s="9"/>
      <c r="S7" s="52"/>
      <c r="T7" s="49"/>
      <c r="U7" s="51"/>
      <c r="V7" s="48"/>
      <c r="W7" s="161"/>
      <c r="X7" s="162"/>
      <c r="Y7" s="163"/>
      <c r="Z7" s="163"/>
      <c r="AA7" s="163"/>
      <c r="AB7" s="163"/>
    </row>
    <row r="8" spans="1:28" ht="18.75" customHeight="1" thickBot="1" x14ac:dyDescent="0.3">
      <c r="A8" s="54" t="s">
        <v>32</v>
      </c>
      <c r="B8" s="55">
        <v>20</v>
      </c>
      <c r="C8" s="90">
        <v>6</v>
      </c>
      <c r="D8" s="164"/>
      <c r="E8" s="86"/>
      <c r="F8" s="62"/>
      <c r="G8" s="60"/>
      <c r="H8" s="58"/>
      <c r="I8" s="61"/>
      <c r="J8" s="57"/>
      <c r="K8" s="59"/>
      <c r="L8" s="57"/>
      <c r="M8" s="58"/>
      <c r="N8" s="59"/>
      <c r="O8" s="56"/>
      <c r="P8" s="57"/>
      <c r="Q8" s="59"/>
      <c r="R8" s="60"/>
      <c r="S8" s="61"/>
      <c r="T8" s="57"/>
      <c r="U8" s="59"/>
      <c r="V8" s="56"/>
      <c r="W8" s="165"/>
      <c r="X8" s="166"/>
      <c r="Y8" s="167"/>
      <c r="Z8" s="167"/>
      <c r="AA8" s="167"/>
      <c r="AB8" s="167"/>
    </row>
    <row r="9" spans="1:28" ht="18.75" customHeight="1" thickBot="1" x14ac:dyDescent="0.3">
      <c r="A9" s="140" t="s">
        <v>32</v>
      </c>
      <c r="B9" s="141">
        <v>15</v>
      </c>
      <c r="C9" s="142">
        <v>7</v>
      </c>
      <c r="D9" s="105"/>
      <c r="E9" s="84"/>
      <c r="F9" s="26"/>
      <c r="G9" s="24"/>
      <c r="H9" s="22"/>
      <c r="I9" s="25"/>
      <c r="J9" s="5"/>
      <c r="K9" s="23"/>
      <c r="L9" s="5"/>
      <c r="M9" s="22"/>
      <c r="N9" s="23"/>
      <c r="O9" s="10"/>
      <c r="P9" s="5"/>
      <c r="Q9" s="23"/>
      <c r="R9" s="24"/>
      <c r="S9" s="25"/>
      <c r="T9" s="5"/>
      <c r="U9" s="23"/>
      <c r="V9" s="10"/>
      <c r="W9" s="145"/>
      <c r="X9" s="146"/>
      <c r="Y9" s="147"/>
      <c r="Z9" s="147"/>
      <c r="AA9" s="147"/>
      <c r="AB9" s="147"/>
    </row>
    <row r="10" spans="1:28" ht="18.75" customHeight="1" x14ac:dyDescent="0.25">
      <c r="A10" s="267" t="s">
        <v>33</v>
      </c>
      <c r="B10" s="268"/>
      <c r="C10" s="77">
        <v>8</v>
      </c>
      <c r="D10" s="108"/>
      <c r="E10" s="85"/>
      <c r="F10" s="53"/>
      <c r="G10" s="9"/>
      <c r="H10" s="50"/>
      <c r="I10" s="52"/>
      <c r="J10" s="49"/>
      <c r="K10" s="51"/>
      <c r="L10" s="49"/>
      <c r="M10" s="50"/>
      <c r="N10" s="51"/>
      <c r="O10" s="48"/>
      <c r="P10" s="49"/>
      <c r="Q10" s="51"/>
      <c r="R10" s="9"/>
      <c r="S10" s="52"/>
      <c r="T10" s="49"/>
      <c r="U10" s="51"/>
      <c r="V10" s="48"/>
      <c r="W10" s="161"/>
      <c r="X10" s="162"/>
      <c r="Y10" s="163"/>
      <c r="Z10" s="163"/>
      <c r="AA10" s="163"/>
      <c r="AB10" s="163"/>
    </row>
    <row r="11" spans="1:28" ht="18.75" customHeight="1" x14ac:dyDescent="0.25">
      <c r="A11" s="234" t="s">
        <v>33</v>
      </c>
      <c r="B11" s="235"/>
      <c r="C11" s="78">
        <v>9</v>
      </c>
      <c r="D11" s="106"/>
      <c r="E11" s="63"/>
      <c r="F11" s="38"/>
      <c r="G11" s="3"/>
      <c r="H11" s="96"/>
      <c r="I11" s="37"/>
      <c r="J11" s="7"/>
      <c r="K11" s="36"/>
      <c r="L11" s="7"/>
      <c r="M11" s="96"/>
      <c r="N11" s="36"/>
      <c r="O11" s="35"/>
      <c r="P11" s="7"/>
      <c r="Q11" s="36"/>
      <c r="R11" s="3"/>
      <c r="S11" s="37"/>
      <c r="T11" s="7"/>
      <c r="U11" s="36"/>
      <c r="V11" s="35"/>
      <c r="W11" s="154"/>
      <c r="X11" s="155"/>
      <c r="Y11" s="156"/>
      <c r="Z11" s="156"/>
      <c r="AA11" s="156"/>
      <c r="AB11" s="156"/>
    </row>
    <row r="12" spans="1:28" ht="18.75" customHeight="1" x14ac:dyDescent="0.25">
      <c r="A12" s="234" t="s">
        <v>33</v>
      </c>
      <c r="B12" s="235"/>
      <c r="C12" s="78">
        <v>10</v>
      </c>
      <c r="D12" s="106"/>
      <c r="E12" s="63"/>
      <c r="F12" s="38"/>
      <c r="G12" s="3"/>
      <c r="H12" s="96"/>
      <c r="I12" s="37"/>
      <c r="J12" s="7"/>
      <c r="K12" s="36"/>
      <c r="L12" s="7"/>
      <c r="M12" s="96"/>
      <c r="N12" s="36"/>
      <c r="O12" s="35"/>
      <c r="P12" s="7"/>
      <c r="Q12" s="36"/>
      <c r="R12" s="3"/>
      <c r="S12" s="37"/>
      <c r="T12" s="7"/>
      <c r="U12" s="36"/>
      <c r="V12" s="35"/>
      <c r="W12" s="154"/>
      <c r="X12" s="155"/>
      <c r="Y12" s="156"/>
      <c r="Z12" s="156"/>
      <c r="AA12" s="156"/>
      <c r="AB12" s="156"/>
    </row>
    <row r="13" spans="1:28" ht="18.75" customHeight="1" x14ac:dyDescent="0.25">
      <c r="A13" s="234" t="s">
        <v>33</v>
      </c>
      <c r="B13" s="235"/>
      <c r="C13" s="78">
        <v>11</v>
      </c>
      <c r="D13" s="106"/>
      <c r="E13" s="63"/>
      <c r="F13" s="38"/>
      <c r="G13" s="3"/>
      <c r="H13" s="96"/>
      <c r="I13" s="37"/>
      <c r="J13" s="7"/>
      <c r="K13" s="36"/>
      <c r="L13" s="7"/>
      <c r="M13" s="96"/>
      <c r="N13" s="36"/>
      <c r="O13" s="35"/>
      <c r="P13" s="7"/>
      <c r="Q13" s="36"/>
      <c r="R13" s="3"/>
      <c r="S13" s="37"/>
      <c r="T13" s="7"/>
      <c r="U13" s="36"/>
      <c r="V13" s="35"/>
      <c r="W13" s="154"/>
      <c r="X13" s="155"/>
      <c r="Y13" s="156"/>
      <c r="Z13" s="156"/>
      <c r="AA13" s="156"/>
      <c r="AB13" s="156"/>
    </row>
    <row r="14" spans="1:28" ht="18.75" customHeight="1" x14ac:dyDescent="0.25">
      <c r="A14" s="234" t="s">
        <v>33</v>
      </c>
      <c r="B14" s="235"/>
      <c r="C14" s="78">
        <v>12</v>
      </c>
      <c r="D14" s="106"/>
      <c r="E14" s="63"/>
      <c r="F14" s="38"/>
      <c r="G14" s="3"/>
      <c r="H14" s="96"/>
      <c r="I14" s="37"/>
      <c r="J14" s="7"/>
      <c r="K14" s="36"/>
      <c r="L14" s="7"/>
      <c r="M14" s="96"/>
      <c r="N14" s="36"/>
      <c r="O14" s="35"/>
      <c r="P14" s="7"/>
      <c r="Q14" s="36"/>
      <c r="R14" s="3"/>
      <c r="S14" s="37"/>
      <c r="T14" s="7"/>
      <c r="U14" s="36"/>
      <c r="V14" s="35"/>
      <c r="W14" s="154"/>
      <c r="X14" s="155"/>
      <c r="Y14" s="156"/>
      <c r="Z14" s="156"/>
      <c r="AA14" s="156"/>
      <c r="AB14" s="156"/>
    </row>
    <row r="15" spans="1:28" ht="18.75" customHeight="1" x14ac:dyDescent="0.25">
      <c r="A15" s="234" t="s">
        <v>33</v>
      </c>
      <c r="B15" s="235"/>
      <c r="C15" s="78">
        <v>13</v>
      </c>
      <c r="D15" s="106"/>
      <c r="E15" s="63"/>
      <c r="F15" s="38"/>
      <c r="G15" s="3"/>
      <c r="H15" s="96"/>
      <c r="I15" s="37"/>
      <c r="J15" s="7"/>
      <c r="K15" s="36"/>
      <c r="L15" s="7"/>
      <c r="M15" s="96"/>
      <c r="N15" s="36"/>
      <c r="O15" s="35"/>
      <c r="P15" s="7"/>
      <c r="Q15" s="36"/>
      <c r="R15" s="3"/>
      <c r="S15" s="37"/>
      <c r="T15" s="7"/>
      <c r="U15" s="36"/>
      <c r="V15" s="35"/>
      <c r="W15" s="154"/>
      <c r="X15" s="155"/>
      <c r="Y15" s="156"/>
      <c r="Z15" s="156"/>
      <c r="AA15" s="156"/>
      <c r="AB15" s="156"/>
    </row>
    <row r="16" spans="1:28" ht="18.75" customHeight="1" x14ac:dyDescent="0.25">
      <c r="A16" s="234" t="s">
        <v>33</v>
      </c>
      <c r="B16" s="235"/>
      <c r="C16" s="78">
        <v>14</v>
      </c>
      <c r="D16" s="106"/>
      <c r="E16" s="63"/>
      <c r="F16" s="38"/>
      <c r="G16" s="3"/>
      <c r="H16" s="96"/>
      <c r="I16" s="37"/>
      <c r="J16" s="7"/>
      <c r="K16" s="36"/>
      <c r="L16" s="7"/>
      <c r="M16" s="96"/>
      <c r="N16" s="36"/>
      <c r="O16" s="35"/>
      <c r="P16" s="7"/>
      <c r="Q16" s="36"/>
      <c r="R16" s="3"/>
      <c r="S16" s="37"/>
      <c r="T16" s="7"/>
      <c r="U16" s="36"/>
      <c r="V16" s="35"/>
      <c r="W16" s="154"/>
      <c r="X16" s="155"/>
      <c r="Y16" s="156"/>
      <c r="Z16" s="156"/>
      <c r="AA16" s="156"/>
      <c r="AB16" s="156"/>
    </row>
    <row r="17" spans="1:28" ht="18.75" customHeight="1" x14ac:dyDescent="0.25">
      <c r="A17" s="234" t="s">
        <v>33</v>
      </c>
      <c r="B17" s="235"/>
      <c r="C17" s="78">
        <v>15</v>
      </c>
      <c r="D17" s="106"/>
      <c r="E17" s="63"/>
      <c r="F17" s="38"/>
      <c r="G17" s="3"/>
      <c r="H17" s="96"/>
      <c r="I17" s="37"/>
      <c r="J17" s="7"/>
      <c r="K17" s="36"/>
      <c r="L17" s="7"/>
      <c r="M17" s="96"/>
      <c r="N17" s="36"/>
      <c r="O17" s="35"/>
      <c r="P17" s="7"/>
      <c r="Q17" s="36"/>
      <c r="R17" s="3"/>
      <c r="S17" s="37"/>
      <c r="T17" s="7"/>
      <c r="U17" s="36"/>
      <c r="V17" s="35"/>
      <c r="W17" s="165"/>
      <c r="X17" s="166"/>
      <c r="Y17" s="167"/>
      <c r="Z17" s="167"/>
      <c r="AA17" s="167"/>
      <c r="AB17" s="167"/>
    </row>
    <row r="18" spans="1:28" ht="18.75" customHeight="1" x14ac:dyDescent="0.25">
      <c r="A18" s="234" t="s">
        <v>33</v>
      </c>
      <c r="B18" s="235"/>
      <c r="C18" s="78">
        <v>16</v>
      </c>
      <c r="D18" s="106"/>
      <c r="E18" s="63"/>
      <c r="F18" s="38"/>
      <c r="G18" s="3"/>
      <c r="H18" s="96"/>
      <c r="I18" s="37"/>
      <c r="J18" s="7"/>
      <c r="K18" s="36"/>
      <c r="L18" s="7"/>
      <c r="M18" s="96"/>
      <c r="N18" s="36"/>
      <c r="O18" s="35"/>
      <c r="P18" s="7"/>
      <c r="Q18" s="36"/>
      <c r="R18" s="3"/>
      <c r="S18" s="37"/>
      <c r="T18" s="7"/>
      <c r="U18" s="36"/>
      <c r="V18" s="35"/>
      <c r="W18" s="154"/>
      <c r="X18" s="155"/>
      <c r="Y18" s="156"/>
      <c r="Z18" s="156"/>
      <c r="AA18" s="156"/>
      <c r="AB18" s="156"/>
    </row>
    <row r="19" spans="1:28" ht="18.75" customHeight="1" x14ac:dyDescent="0.25">
      <c r="A19" s="234" t="s">
        <v>33</v>
      </c>
      <c r="B19" s="235"/>
      <c r="C19" s="78">
        <v>17</v>
      </c>
      <c r="D19" s="106"/>
      <c r="E19" s="63"/>
      <c r="F19" s="38"/>
      <c r="G19" s="3"/>
      <c r="H19" s="96"/>
      <c r="I19" s="37"/>
      <c r="J19" s="7"/>
      <c r="K19" s="36"/>
      <c r="L19" s="7"/>
      <c r="M19" s="96"/>
      <c r="N19" s="36"/>
      <c r="O19" s="35"/>
      <c r="P19" s="7"/>
      <c r="Q19" s="36"/>
      <c r="R19" s="3"/>
      <c r="S19" s="37"/>
      <c r="T19" s="7"/>
      <c r="U19" s="36"/>
      <c r="V19" s="35"/>
      <c r="W19" s="161"/>
      <c r="X19" s="162"/>
      <c r="Y19" s="163"/>
      <c r="Z19" s="163"/>
      <c r="AA19" s="163"/>
      <c r="AB19" s="163"/>
    </row>
    <row r="20" spans="1:28" ht="18.75" customHeight="1" x14ac:dyDescent="0.25">
      <c r="A20" s="234" t="s">
        <v>33</v>
      </c>
      <c r="B20" s="235"/>
      <c r="C20" s="78">
        <v>18</v>
      </c>
      <c r="D20" s="106"/>
      <c r="E20" s="63"/>
      <c r="F20" s="38"/>
      <c r="G20" s="3"/>
      <c r="H20" s="96"/>
      <c r="I20" s="37"/>
      <c r="J20" s="7"/>
      <c r="K20" s="36"/>
      <c r="L20" s="7"/>
      <c r="M20" s="96"/>
      <c r="N20" s="36"/>
      <c r="O20" s="35"/>
      <c r="P20" s="7"/>
      <c r="Q20" s="36"/>
      <c r="R20" s="3"/>
      <c r="S20" s="37"/>
      <c r="T20" s="7"/>
      <c r="U20" s="36"/>
      <c r="V20" s="35"/>
      <c r="W20" s="154"/>
      <c r="X20" s="155"/>
      <c r="Y20" s="156"/>
      <c r="Z20" s="156"/>
      <c r="AA20" s="156"/>
      <c r="AB20" s="156"/>
    </row>
    <row r="21" spans="1:28" ht="18.75" customHeight="1" thickBot="1" x14ac:dyDescent="0.3">
      <c r="A21" s="260" t="s">
        <v>33</v>
      </c>
      <c r="B21" s="261"/>
      <c r="C21" s="91">
        <v>19</v>
      </c>
      <c r="D21" s="164"/>
      <c r="E21" s="86"/>
      <c r="F21" s="62"/>
      <c r="G21" s="60"/>
      <c r="H21" s="58"/>
      <c r="I21" s="61"/>
      <c r="J21" s="57"/>
      <c r="K21" s="59"/>
      <c r="L21" s="57"/>
      <c r="M21" s="58"/>
      <c r="N21" s="59"/>
      <c r="O21" s="56"/>
      <c r="P21" s="57"/>
      <c r="Q21" s="59"/>
      <c r="R21" s="60"/>
      <c r="S21" s="61"/>
      <c r="T21" s="57"/>
      <c r="U21" s="59"/>
      <c r="V21" s="56"/>
      <c r="W21" s="165"/>
      <c r="X21" s="166"/>
      <c r="Y21" s="167"/>
      <c r="Z21" s="167"/>
      <c r="AA21" s="167"/>
      <c r="AB21" s="167"/>
    </row>
    <row r="22" spans="1:28" ht="18.75" customHeight="1" thickBot="1" x14ac:dyDescent="0.3">
      <c r="A22" s="266" t="s">
        <v>34</v>
      </c>
      <c r="B22" s="245"/>
      <c r="C22" s="79">
        <v>20</v>
      </c>
      <c r="D22" s="105"/>
      <c r="E22" s="84"/>
      <c r="F22" s="26"/>
      <c r="G22" s="24"/>
      <c r="H22" s="22"/>
      <c r="I22" s="25"/>
      <c r="J22" s="5"/>
      <c r="K22" s="23"/>
      <c r="L22" s="5"/>
      <c r="M22" s="22"/>
      <c r="N22" s="23"/>
      <c r="O22" s="10"/>
      <c r="P22" s="5"/>
      <c r="Q22" s="23"/>
      <c r="R22" s="24"/>
      <c r="S22" s="25"/>
      <c r="T22" s="5"/>
      <c r="U22" s="23"/>
      <c r="V22" s="10"/>
      <c r="W22" s="145"/>
      <c r="X22" s="146"/>
      <c r="Y22" s="147"/>
      <c r="Z22" s="147"/>
      <c r="AA22" s="147"/>
      <c r="AB22" s="147"/>
    </row>
    <row r="23" spans="1:28" ht="18.75" customHeight="1" thickBot="1" x14ac:dyDescent="0.3">
      <c r="A23" s="6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03" t="s">
        <v>35</v>
      </c>
      <c r="W23" s="104" t="e">
        <f t="shared" ref="W23:AB23" si="0">COUNTIF(W3:W22, "*GW*") / COUNTA(W3:W22)</f>
        <v>#DIV/0!</v>
      </c>
      <c r="X23" s="104" t="e">
        <f t="shared" si="0"/>
        <v>#DIV/0!</v>
      </c>
      <c r="Y23" s="104" t="e">
        <f t="shared" si="0"/>
        <v>#DIV/0!</v>
      </c>
      <c r="Z23" s="104" t="e">
        <f t="shared" si="0"/>
        <v>#DIV/0!</v>
      </c>
      <c r="AA23" s="104" t="e">
        <f t="shared" si="0"/>
        <v>#DIV/0!</v>
      </c>
      <c r="AB23" s="104" t="e">
        <f t="shared" si="0"/>
        <v>#DIV/0!</v>
      </c>
    </row>
    <row r="24" spans="1:28" ht="18.75" customHeight="1" thickBot="1" x14ac:dyDescent="0.3">
      <c r="A24" s="6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8.75" customHeight="1" thickBot="1" x14ac:dyDescent="0.3">
      <c r="A25" s="11"/>
      <c r="B25" s="252" t="s">
        <v>36</v>
      </c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4"/>
      <c r="P25" s="256" t="s">
        <v>37</v>
      </c>
      <c r="Q25" s="232"/>
      <c r="R25" s="232"/>
      <c r="S25" s="232"/>
      <c r="T25" s="232"/>
      <c r="U25" s="232"/>
      <c r="V25" s="232"/>
      <c r="W25" s="232"/>
      <c r="X25" s="232"/>
      <c r="Y25" s="245"/>
      <c r="Z25" s="66"/>
      <c r="AA25" s="11"/>
      <c r="AB25" s="11"/>
    </row>
    <row r="26" spans="1:28" ht="18.75" customHeight="1" x14ac:dyDescent="0.25">
      <c r="A26" s="11"/>
      <c r="B26" s="262" t="s">
        <v>38</v>
      </c>
      <c r="C26" s="258"/>
      <c r="D26" s="259"/>
      <c r="E26" s="265" t="s">
        <v>39</v>
      </c>
      <c r="F26" s="258"/>
      <c r="G26" s="258"/>
      <c r="H26" s="258"/>
      <c r="I26" s="259"/>
      <c r="J26" s="257" t="s">
        <v>40</v>
      </c>
      <c r="K26" s="258"/>
      <c r="L26" s="258"/>
      <c r="M26" s="258"/>
      <c r="N26" s="259"/>
      <c r="P26" s="264" t="s">
        <v>41</v>
      </c>
      <c r="Q26" s="248"/>
      <c r="R26" s="249"/>
      <c r="S26" s="247" t="s">
        <v>41</v>
      </c>
      <c r="T26" s="248"/>
      <c r="U26" s="248"/>
      <c r="V26" s="248"/>
      <c r="W26" s="248"/>
      <c r="X26" s="248"/>
      <c r="Y26" s="249"/>
      <c r="Z26" s="67"/>
      <c r="AA26" s="11"/>
      <c r="AB26" s="11"/>
    </row>
    <row r="27" spans="1:28" ht="18.75" customHeight="1" x14ac:dyDescent="0.25">
      <c r="A27" s="11"/>
      <c r="B27" s="236" t="s">
        <v>42</v>
      </c>
      <c r="C27" s="237"/>
      <c r="D27" s="238"/>
      <c r="E27" s="263" t="s">
        <v>39</v>
      </c>
      <c r="F27" s="237"/>
      <c r="G27" s="237"/>
      <c r="H27" s="237"/>
      <c r="I27" s="238"/>
      <c r="J27" s="251" t="s">
        <v>40</v>
      </c>
      <c r="K27" s="237"/>
      <c r="L27" s="237"/>
      <c r="M27" s="237"/>
      <c r="N27" s="238"/>
      <c r="P27" s="236" t="s">
        <v>41</v>
      </c>
      <c r="Q27" s="237"/>
      <c r="R27" s="238"/>
      <c r="S27" s="243" t="s">
        <v>41</v>
      </c>
      <c r="T27" s="237"/>
      <c r="U27" s="237"/>
      <c r="V27" s="237"/>
      <c r="W27" s="237"/>
      <c r="X27" s="237"/>
      <c r="Y27" s="238"/>
      <c r="Z27" s="67"/>
      <c r="AA27" s="11"/>
      <c r="AB27" s="11"/>
    </row>
    <row r="28" spans="1:28" ht="18.75" customHeight="1" thickBot="1" x14ac:dyDescent="0.3">
      <c r="A28" s="11"/>
      <c r="B28" s="246" t="s">
        <v>43</v>
      </c>
      <c r="C28" s="240"/>
      <c r="D28" s="241"/>
      <c r="E28" s="250" t="s">
        <v>39</v>
      </c>
      <c r="F28" s="240"/>
      <c r="G28" s="240"/>
      <c r="H28" s="240"/>
      <c r="I28" s="241"/>
      <c r="J28" s="242" t="s">
        <v>40</v>
      </c>
      <c r="K28" s="240"/>
      <c r="L28" s="240"/>
      <c r="M28" s="240"/>
      <c r="N28" s="241"/>
      <c r="P28" s="236" t="s">
        <v>41</v>
      </c>
      <c r="Q28" s="237"/>
      <c r="R28" s="238"/>
      <c r="S28" s="243" t="s">
        <v>41</v>
      </c>
      <c r="T28" s="237"/>
      <c r="U28" s="237"/>
      <c r="V28" s="237"/>
      <c r="W28" s="237"/>
      <c r="X28" s="237"/>
      <c r="Y28" s="238"/>
      <c r="Z28" s="67"/>
      <c r="AA28" s="11"/>
      <c r="AB28" s="11"/>
    </row>
    <row r="29" spans="1:28" ht="18.75" customHeight="1" x14ac:dyDescent="0.25">
      <c r="A29" s="11"/>
      <c r="B29" s="68"/>
      <c r="C29" s="68"/>
      <c r="D29" s="68"/>
      <c r="E29" s="69"/>
      <c r="F29" s="69"/>
      <c r="G29" s="69"/>
      <c r="H29" s="69"/>
      <c r="I29" s="69"/>
      <c r="J29" s="67"/>
      <c r="K29" s="67"/>
      <c r="L29" s="67"/>
      <c r="M29" s="67"/>
      <c r="N29" s="67"/>
      <c r="P29" s="236" t="s">
        <v>41</v>
      </c>
      <c r="Q29" s="237"/>
      <c r="R29" s="238"/>
      <c r="S29" s="243" t="s">
        <v>41</v>
      </c>
      <c r="T29" s="237"/>
      <c r="U29" s="237"/>
      <c r="V29" s="237"/>
      <c r="W29" s="237"/>
      <c r="X29" s="237"/>
      <c r="Y29" s="238"/>
      <c r="Z29" s="67"/>
      <c r="AA29" s="11"/>
      <c r="AB29" s="11"/>
    </row>
    <row r="30" spans="1:28" ht="18.75" customHeight="1" thickBot="1" x14ac:dyDescent="0.3">
      <c r="A30" s="11"/>
      <c r="B30" s="68"/>
      <c r="C30" s="68"/>
      <c r="D30" s="68"/>
      <c r="E30" s="69"/>
      <c r="F30" s="69"/>
      <c r="G30" s="69"/>
      <c r="H30" s="69"/>
      <c r="I30" s="69"/>
      <c r="J30" s="67"/>
      <c r="K30" s="67"/>
      <c r="L30" s="67"/>
      <c r="M30" s="67"/>
      <c r="N30" s="67"/>
      <c r="P30" s="246" t="s">
        <v>41</v>
      </c>
      <c r="Q30" s="240"/>
      <c r="R30" s="241"/>
      <c r="S30" s="239" t="s">
        <v>41</v>
      </c>
      <c r="T30" s="240"/>
      <c r="U30" s="240"/>
      <c r="V30" s="240"/>
      <c r="W30" s="240"/>
      <c r="X30" s="240"/>
      <c r="Y30" s="241"/>
      <c r="Z30" s="67"/>
      <c r="AA30" s="11"/>
      <c r="AB30" s="11"/>
    </row>
    <row r="31" spans="1:28" ht="18.75" customHeight="1" thickBo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8.75" customHeight="1" thickBot="1" x14ac:dyDescent="0.3">
      <c r="A32" s="11"/>
      <c r="B32" s="244" t="s">
        <v>44</v>
      </c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45"/>
      <c r="P32" s="231" t="s">
        <v>45</v>
      </c>
      <c r="Q32" s="232"/>
      <c r="R32" s="232"/>
      <c r="S32" s="232"/>
      <c r="T32" s="232"/>
      <c r="U32" s="232"/>
      <c r="V32" s="232"/>
      <c r="W32" s="232"/>
      <c r="X32" s="232"/>
      <c r="Y32" s="233"/>
      <c r="Z32" s="11"/>
      <c r="AA32" s="11"/>
      <c r="AB32" s="11"/>
    </row>
    <row r="33" spans="1:26" ht="15.75" customHeight="1" thickBot="1" x14ac:dyDescent="0.3">
      <c r="A33" s="11"/>
      <c r="B33" s="70" t="s">
        <v>4</v>
      </c>
      <c r="C33" s="16" t="s">
        <v>46</v>
      </c>
      <c r="D33" s="71" t="s">
        <v>5</v>
      </c>
      <c r="E33" s="72" t="s">
        <v>6</v>
      </c>
      <c r="F33" s="73" t="s">
        <v>7</v>
      </c>
      <c r="G33" s="24" t="s">
        <v>8</v>
      </c>
      <c r="H33" s="22" t="s">
        <v>9</v>
      </c>
      <c r="I33" s="23" t="s">
        <v>10</v>
      </c>
      <c r="J33" s="5" t="s">
        <v>11</v>
      </c>
      <c r="K33" s="10" t="s">
        <v>12</v>
      </c>
      <c r="L33" s="16" t="s">
        <v>13</v>
      </c>
      <c r="M33" s="17" t="s">
        <v>14</v>
      </c>
      <c r="N33" s="18" t="s">
        <v>15</v>
      </c>
      <c r="P33" s="19" t="s">
        <v>47</v>
      </c>
      <c r="Q33" s="14" t="s">
        <v>48</v>
      </c>
      <c r="R33" s="12" t="s">
        <v>49</v>
      </c>
      <c r="S33" s="13" t="s">
        <v>50</v>
      </c>
      <c r="T33" s="12" t="s">
        <v>49</v>
      </c>
      <c r="U33" s="15" t="s">
        <v>50</v>
      </c>
      <c r="V33" s="12" t="s">
        <v>49</v>
      </c>
      <c r="W33" s="13" t="s">
        <v>50</v>
      </c>
      <c r="X33" s="12" t="s">
        <v>49</v>
      </c>
      <c r="Y33" s="13" t="s">
        <v>50</v>
      </c>
      <c r="Z33" s="11"/>
    </row>
    <row r="34" spans="1:26" ht="15.75" customHeight="1" thickBot="1" x14ac:dyDescent="0.3">
      <c r="A34" s="11"/>
      <c r="B34" s="118">
        <v>1</v>
      </c>
      <c r="C34" s="134" t="e">
        <f t="shared" ref="C34:C53" si="1">INDEX(C$2:C$22, MATCH(D34, D$2:D$22, 0))</f>
        <v>#N/A</v>
      </c>
      <c r="D34" s="128"/>
      <c r="E34" s="109"/>
      <c r="F34" s="10"/>
      <c r="G34" s="5"/>
      <c r="H34" s="22"/>
      <c r="I34" s="23"/>
      <c r="J34" s="24"/>
      <c r="K34" s="25"/>
      <c r="L34" s="26"/>
      <c r="M34" s="5"/>
      <c r="N34" s="23"/>
      <c r="P34" s="29"/>
      <c r="Q34" s="29"/>
      <c r="R34" s="30"/>
      <c r="S34" s="30"/>
      <c r="T34" s="30"/>
      <c r="U34" s="30"/>
      <c r="V34" s="30"/>
      <c r="W34" s="30"/>
      <c r="X34" s="30"/>
      <c r="Y34" s="30"/>
      <c r="Z34" s="11"/>
    </row>
    <row r="35" spans="1:26" ht="15.75" customHeight="1" x14ac:dyDescent="0.25">
      <c r="A35" s="11"/>
      <c r="B35" s="119">
        <v>2</v>
      </c>
      <c r="C35" s="32" t="e">
        <f t="shared" si="1"/>
        <v>#N/A</v>
      </c>
      <c r="D35" s="129"/>
      <c r="E35" s="110"/>
      <c r="F35" s="27"/>
      <c r="G35" s="8"/>
      <c r="H35" s="28"/>
      <c r="I35" s="29"/>
      <c r="J35" s="30"/>
      <c r="K35" s="31"/>
      <c r="L35" s="32"/>
      <c r="M35" s="8"/>
      <c r="N35" s="29"/>
      <c r="P35" s="36"/>
      <c r="Q35" s="36"/>
      <c r="R35" s="3"/>
      <c r="S35" s="3"/>
      <c r="T35" s="3"/>
      <c r="U35" s="3"/>
      <c r="V35" s="3"/>
      <c r="W35" s="3"/>
      <c r="X35" s="3"/>
      <c r="Y35" s="3"/>
      <c r="Z35" s="11"/>
    </row>
    <row r="36" spans="1:26" ht="15.75" customHeight="1" x14ac:dyDescent="0.25">
      <c r="A36" s="11"/>
      <c r="B36" s="120">
        <v>3</v>
      </c>
      <c r="C36" s="38" t="e">
        <f t="shared" si="1"/>
        <v>#N/A</v>
      </c>
      <c r="D36" s="130"/>
      <c r="E36" s="111"/>
      <c r="F36" s="35"/>
      <c r="G36" s="7"/>
      <c r="H36" s="96"/>
      <c r="I36" s="36"/>
      <c r="J36" s="3"/>
      <c r="K36" s="37"/>
      <c r="L36" s="38"/>
      <c r="M36" s="7"/>
      <c r="N36" s="36"/>
      <c r="P36" s="36"/>
      <c r="Q36" s="36"/>
      <c r="R36" s="3"/>
      <c r="S36" s="3"/>
      <c r="T36" s="3"/>
      <c r="U36" s="3"/>
      <c r="V36" s="3"/>
      <c r="W36" s="3"/>
      <c r="X36" s="3"/>
      <c r="Y36" s="3"/>
      <c r="Z36" s="11"/>
    </row>
    <row r="37" spans="1:26" ht="15.75" customHeight="1" thickBot="1" x14ac:dyDescent="0.3">
      <c r="A37" s="11"/>
      <c r="B37" s="121">
        <v>4</v>
      </c>
      <c r="C37" s="45" t="e">
        <f t="shared" si="1"/>
        <v>#N/A</v>
      </c>
      <c r="D37" s="131"/>
      <c r="E37" s="112"/>
      <c r="F37" s="41"/>
      <c r="G37" s="6"/>
      <c r="H37" s="42"/>
      <c r="I37" s="43"/>
      <c r="J37" s="4"/>
      <c r="K37" s="44"/>
      <c r="L37" s="45"/>
      <c r="M37" s="6"/>
      <c r="N37" s="43"/>
      <c r="P37" s="36"/>
      <c r="Q37" s="36"/>
      <c r="R37" s="3"/>
      <c r="S37" s="3"/>
      <c r="T37" s="3"/>
      <c r="U37" s="3"/>
      <c r="V37" s="3"/>
      <c r="W37" s="3"/>
      <c r="X37" s="3"/>
      <c r="Y37" s="3"/>
      <c r="Z37" s="11"/>
    </row>
    <row r="38" spans="1:26" ht="15.75" customHeight="1" x14ac:dyDescent="0.25">
      <c r="A38" s="11"/>
      <c r="B38" s="122">
        <v>5</v>
      </c>
      <c r="C38" s="32" t="e">
        <f t="shared" si="1"/>
        <v>#N/A</v>
      </c>
      <c r="D38" s="132"/>
      <c r="E38" s="113"/>
      <c r="F38" s="48"/>
      <c r="G38" s="49"/>
      <c r="H38" s="50"/>
      <c r="I38" s="51"/>
      <c r="J38" s="9"/>
      <c r="K38" s="52"/>
      <c r="L38" s="53"/>
      <c r="M38" s="49"/>
      <c r="N38" s="51"/>
      <c r="P38" s="36"/>
      <c r="Q38" s="36"/>
      <c r="R38" s="3"/>
      <c r="S38" s="3"/>
      <c r="T38" s="3"/>
      <c r="U38" s="3"/>
      <c r="V38" s="3"/>
      <c r="W38" s="3"/>
      <c r="X38" s="3"/>
      <c r="Y38" s="3"/>
      <c r="Z38" s="11"/>
    </row>
    <row r="39" spans="1:26" ht="15.75" customHeight="1" thickBot="1" x14ac:dyDescent="0.3">
      <c r="A39" s="11"/>
      <c r="B39" s="123">
        <v>6</v>
      </c>
      <c r="C39" s="45" t="e">
        <f t="shared" si="1"/>
        <v>#N/A</v>
      </c>
      <c r="D39" s="133"/>
      <c r="E39" s="114"/>
      <c r="F39" s="56"/>
      <c r="G39" s="57"/>
      <c r="H39" s="58"/>
      <c r="I39" s="59"/>
      <c r="J39" s="60"/>
      <c r="K39" s="61"/>
      <c r="L39" s="62"/>
      <c r="M39" s="57"/>
      <c r="N39" s="59"/>
      <c r="P39" s="36"/>
      <c r="Q39" s="36"/>
      <c r="R39" s="3"/>
      <c r="S39" s="3"/>
      <c r="T39" s="3"/>
      <c r="U39" s="3"/>
      <c r="V39" s="3"/>
      <c r="W39" s="3"/>
      <c r="X39" s="3"/>
      <c r="Y39" s="3"/>
      <c r="Z39" s="11"/>
    </row>
    <row r="40" spans="1:26" ht="15.75" customHeight="1" thickBot="1" x14ac:dyDescent="0.3">
      <c r="A40" s="11"/>
      <c r="B40" s="124">
        <v>7</v>
      </c>
      <c r="C40" s="26" t="e">
        <f t="shared" si="1"/>
        <v>#N/A</v>
      </c>
      <c r="D40" s="128"/>
      <c r="E40" s="109"/>
      <c r="F40" s="10"/>
      <c r="G40" s="5"/>
      <c r="H40" s="22"/>
      <c r="I40" s="23"/>
      <c r="J40" s="24"/>
      <c r="K40" s="25"/>
      <c r="L40" s="26"/>
      <c r="M40" s="5"/>
      <c r="N40" s="23"/>
      <c r="P40" s="36"/>
      <c r="Q40" s="36"/>
      <c r="R40" s="3"/>
      <c r="S40" s="3"/>
      <c r="T40" s="3"/>
      <c r="U40" s="3"/>
      <c r="V40" s="3"/>
      <c r="W40" s="3"/>
      <c r="X40" s="3"/>
      <c r="Y40" s="3"/>
      <c r="Z40" s="11"/>
    </row>
    <row r="41" spans="1:26" ht="15.75" customHeight="1" x14ac:dyDescent="0.25">
      <c r="A41" s="11"/>
      <c r="B41" s="97">
        <v>8</v>
      </c>
      <c r="C41" s="32" t="e">
        <f t="shared" si="1"/>
        <v>#N/A</v>
      </c>
      <c r="D41" s="132"/>
      <c r="E41" s="113"/>
      <c r="F41" s="48"/>
      <c r="G41" s="49"/>
      <c r="H41" s="50"/>
      <c r="I41" s="51"/>
      <c r="J41" s="9"/>
      <c r="K41" s="52"/>
      <c r="L41" s="53"/>
      <c r="M41" s="49"/>
      <c r="N41" s="51"/>
      <c r="P41" s="36"/>
      <c r="Q41" s="36"/>
      <c r="R41" s="3"/>
      <c r="S41" s="3"/>
      <c r="T41" s="3"/>
      <c r="U41" s="3"/>
      <c r="V41" s="3"/>
      <c r="W41" s="3"/>
      <c r="X41" s="3"/>
      <c r="Y41" s="3"/>
      <c r="Z41" s="11"/>
    </row>
    <row r="42" spans="1:26" ht="15.75" customHeight="1" x14ac:dyDescent="0.25">
      <c r="A42" s="11"/>
      <c r="B42" s="95">
        <v>9</v>
      </c>
      <c r="C42" s="38" t="e">
        <f t="shared" si="1"/>
        <v>#N/A</v>
      </c>
      <c r="D42" s="130"/>
      <c r="E42" s="111"/>
      <c r="F42" s="35"/>
      <c r="G42" s="7"/>
      <c r="H42" s="96"/>
      <c r="I42" s="36"/>
      <c r="J42" s="3"/>
      <c r="K42" s="37"/>
      <c r="L42" s="38"/>
      <c r="M42" s="7"/>
      <c r="N42" s="36"/>
      <c r="P42" s="36"/>
      <c r="Q42" s="36"/>
      <c r="R42" s="3"/>
      <c r="S42" s="3"/>
      <c r="T42" s="3"/>
      <c r="U42" s="3"/>
      <c r="V42" s="3"/>
      <c r="W42" s="3"/>
      <c r="X42" s="3"/>
      <c r="Y42" s="3"/>
      <c r="Z42" s="11"/>
    </row>
    <row r="43" spans="1:26" ht="15.75" customHeight="1" x14ac:dyDescent="0.25">
      <c r="A43" s="11"/>
      <c r="B43" s="95">
        <v>10</v>
      </c>
      <c r="C43" s="38" t="e">
        <f t="shared" si="1"/>
        <v>#N/A</v>
      </c>
      <c r="D43" s="130"/>
      <c r="E43" s="111"/>
      <c r="F43" s="35"/>
      <c r="G43" s="7"/>
      <c r="H43" s="96"/>
      <c r="I43" s="36"/>
      <c r="J43" s="3"/>
      <c r="K43" s="37"/>
      <c r="L43" s="38"/>
      <c r="M43" s="7"/>
      <c r="N43" s="36"/>
      <c r="P43" s="36"/>
      <c r="Q43" s="36"/>
      <c r="R43" s="3"/>
      <c r="S43" s="3"/>
      <c r="T43" s="3"/>
      <c r="U43" s="3"/>
      <c r="V43" s="3"/>
      <c r="W43" s="3"/>
      <c r="X43" s="3"/>
      <c r="Y43" s="3"/>
      <c r="Z43" s="11"/>
    </row>
    <row r="44" spans="1:26" ht="15.75" customHeight="1" x14ac:dyDescent="0.25">
      <c r="A44" s="11"/>
      <c r="B44" s="95">
        <v>11</v>
      </c>
      <c r="C44" s="38" t="e">
        <f t="shared" si="1"/>
        <v>#N/A</v>
      </c>
      <c r="D44" s="130"/>
      <c r="E44" s="111"/>
      <c r="F44" s="35"/>
      <c r="G44" s="7"/>
      <c r="H44" s="96"/>
      <c r="I44" s="36"/>
      <c r="J44" s="3"/>
      <c r="K44" s="37"/>
      <c r="L44" s="38"/>
      <c r="M44" s="7"/>
      <c r="N44" s="36"/>
      <c r="P44" s="36"/>
      <c r="Q44" s="36"/>
      <c r="R44" s="3"/>
      <c r="S44" s="3"/>
      <c r="T44" s="3"/>
      <c r="U44" s="3"/>
      <c r="V44" s="3"/>
      <c r="W44" s="3"/>
      <c r="X44" s="3"/>
      <c r="Y44" s="3"/>
      <c r="Z44" s="11"/>
    </row>
    <row r="45" spans="1:26" ht="15.75" customHeight="1" x14ac:dyDescent="0.25">
      <c r="A45" s="11"/>
      <c r="B45" s="95">
        <v>12</v>
      </c>
      <c r="C45" s="38" t="e">
        <f t="shared" si="1"/>
        <v>#N/A</v>
      </c>
      <c r="D45" s="130"/>
      <c r="E45" s="111"/>
      <c r="F45" s="35"/>
      <c r="G45" s="7"/>
      <c r="H45" s="96"/>
      <c r="I45" s="36"/>
      <c r="J45" s="3"/>
      <c r="K45" s="37"/>
      <c r="L45" s="38"/>
      <c r="M45" s="7"/>
      <c r="N45" s="36"/>
      <c r="P45" s="36"/>
      <c r="Q45" s="36"/>
      <c r="R45" s="3"/>
      <c r="S45" s="3"/>
      <c r="T45" s="3"/>
      <c r="U45" s="3"/>
      <c r="V45" s="3"/>
      <c r="W45" s="3"/>
      <c r="X45" s="3"/>
      <c r="Y45" s="3"/>
      <c r="Z45" s="11"/>
    </row>
    <row r="46" spans="1:26" ht="15.75" customHeight="1" x14ac:dyDescent="0.25">
      <c r="A46" s="11"/>
      <c r="B46" s="95">
        <v>13</v>
      </c>
      <c r="C46" s="38" t="e">
        <f t="shared" si="1"/>
        <v>#N/A</v>
      </c>
      <c r="D46" s="130"/>
      <c r="E46" s="111"/>
      <c r="F46" s="35"/>
      <c r="G46" s="7"/>
      <c r="H46" s="96"/>
      <c r="I46" s="36"/>
      <c r="J46" s="3"/>
      <c r="K46" s="37"/>
      <c r="L46" s="38"/>
      <c r="M46" s="7"/>
      <c r="N46" s="36"/>
      <c r="P46" s="36"/>
      <c r="Q46" s="36"/>
      <c r="R46" s="3"/>
      <c r="S46" s="3"/>
      <c r="T46" s="3"/>
      <c r="U46" s="3"/>
      <c r="V46" s="3"/>
      <c r="W46" s="3"/>
      <c r="X46" s="3"/>
      <c r="Y46" s="3"/>
      <c r="Z46" s="11"/>
    </row>
    <row r="47" spans="1:26" ht="15.75" customHeight="1" x14ac:dyDescent="0.25">
      <c r="A47" s="11"/>
      <c r="B47" s="95">
        <v>14</v>
      </c>
      <c r="C47" s="38" t="e">
        <f t="shared" si="1"/>
        <v>#N/A</v>
      </c>
      <c r="D47" s="130"/>
      <c r="E47" s="111"/>
      <c r="F47" s="35"/>
      <c r="G47" s="7"/>
      <c r="H47" s="96"/>
      <c r="I47" s="36"/>
      <c r="J47" s="3"/>
      <c r="K47" s="37"/>
      <c r="L47" s="38"/>
      <c r="M47" s="7"/>
      <c r="N47" s="36"/>
      <c r="P47" s="36"/>
      <c r="Q47" s="36"/>
      <c r="R47" s="3"/>
      <c r="S47" s="3"/>
      <c r="T47" s="3"/>
      <c r="U47" s="3"/>
      <c r="V47" s="3"/>
      <c r="W47" s="3"/>
      <c r="X47" s="3"/>
      <c r="Y47" s="3"/>
      <c r="Z47" s="11"/>
    </row>
    <row r="48" spans="1:26" ht="15.75" customHeight="1" thickBot="1" x14ac:dyDescent="0.3">
      <c r="A48" s="11"/>
      <c r="B48" s="98">
        <v>15</v>
      </c>
      <c r="C48" s="62" t="e">
        <f t="shared" si="1"/>
        <v>#N/A</v>
      </c>
      <c r="D48" s="133"/>
      <c r="E48" s="114"/>
      <c r="F48" s="56"/>
      <c r="G48" s="57"/>
      <c r="H48" s="58"/>
      <c r="I48" s="59"/>
      <c r="J48" s="60"/>
      <c r="K48" s="61"/>
      <c r="L48" s="62"/>
      <c r="M48" s="57"/>
      <c r="N48" s="59"/>
      <c r="P48" s="36"/>
      <c r="Q48" s="36"/>
      <c r="R48" s="3"/>
      <c r="S48" s="3"/>
      <c r="T48" s="3"/>
      <c r="U48" s="3"/>
      <c r="V48" s="3"/>
      <c r="W48" s="3"/>
      <c r="X48" s="3"/>
      <c r="Y48" s="3"/>
      <c r="Z48" s="11"/>
    </row>
    <row r="49" spans="1:26" ht="15.75" customHeight="1" thickBot="1" x14ac:dyDescent="0.3">
      <c r="A49" s="11"/>
      <c r="B49" s="135">
        <v>16</v>
      </c>
      <c r="C49" s="26" t="e">
        <f t="shared" si="1"/>
        <v>#N/A</v>
      </c>
      <c r="D49" s="128"/>
      <c r="E49" s="109"/>
      <c r="F49" s="10"/>
      <c r="G49" s="5"/>
      <c r="H49" s="22"/>
      <c r="I49" s="23"/>
      <c r="J49" s="24"/>
      <c r="K49" s="25"/>
      <c r="L49" s="26"/>
      <c r="M49" s="5"/>
      <c r="N49" s="23"/>
      <c r="P49" s="36"/>
      <c r="Q49" s="36"/>
      <c r="R49" s="3"/>
      <c r="S49" s="3"/>
      <c r="T49" s="3"/>
      <c r="U49" s="3"/>
      <c r="V49" s="3"/>
      <c r="W49" s="3"/>
      <c r="X49" s="3"/>
      <c r="Y49" s="3"/>
      <c r="Z49" s="11"/>
    </row>
    <row r="50" spans="1:26" ht="15.75" customHeight="1" x14ac:dyDescent="0.25">
      <c r="A50" s="11"/>
      <c r="B50" s="136">
        <v>17</v>
      </c>
      <c r="C50" s="32" t="e">
        <f t="shared" si="1"/>
        <v>#N/A</v>
      </c>
      <c r="D50" s="129"/>
      <c r="E50" s="115"/>
      <c r="F50" s="32"/>
      <c r="G50" s="30"/>
      <c r="H50" s="28"/>
      <c r="I50" s="29"/>
      <c r="J50" s="30"/>
      <c r="K50" s="31"/>
      <c r="L50" s="32"/>
      <c r="M50" s="8"/>
      <c r="N50" s="29"/>
      <c r="P50" s="36"/>
      <c r="Q50" s="36"/>
      <c r="R50" s="3"/>
      <c r="S50" s="3"/>
      <c r="T50" s="3"/>
      <c r="U50" s="3"/>
      <c r="V50" s="3"/>
      <c r="W50" s="3"/>
      <c r="X50" s="3"/>
      <c r="Y50" s="3"/>
      <c r="Z50" s="11"/>
    </row>
    <row r="51" spans="1:26" ht="15.75" customHeight="1" x14ac:dyDescent="0.25">
      <c r="A51" s="11"/>
      <c r="B51" s="125">
        <v>18</v>
      </c>
      <c r="C51" s="38" t="e">
        <f t="shared" si="1"/>
        <v>#N/A</v>
      </c>
      <c r="D51" s="130"/>
      <c r="E51" s="116"/>
      <c r="F51" s="38"/>
      <c r="G51" s="3"/>
      <c r="H51" s="96"/>
      <c r="I51" s="36"/>
      <c r="J51" s="3"/>
      <c r="K51" s="37"/>
      <c r="L51" s="38"/>
      <c r="M51" s="7"/>
      <c r="N51" s="36"/>
      <c r="P51" s="36"/>
      <c r="Q51" s="36"/>
      <c r="R51" s="3"/>
      <c r="S51" s="3"/>
      <c r="T51" s="3"/>
      <c r="U51" s="3"/>
      <c r="V51" s="3"/>
      <c r="W51" s="3"/>
      <c r="X51" s="3"/>
      <c r="Y51" s="3"/>
      <c r="Z51" s="11"/>
    </row>
    <row r="52" spans="1:26" ht="15.75" customHeight="1" x14ac:dyDescent="0.25">
      <c r="A52" s="11"/>
      <c r="B52" s="126">
        <v>19</v>
      </c>
      <c r="C52" s="38" t="e">
        <f t="shared" si="1"/>
        <v>#N/A</v>
      </c>
      <c r="D52" s="130"/>
      <c r="E52" s="116"/>
      <c r="F52" s="38"/>
      <c r="G52" s="3"/>
      <c r="H52" s="96"/>
      <c r="I52" s="36"/>
      <c r="J52" s="3"/>
      <c r="K52" s="37"/>
      <c r="L52" s="38"/>
      <c r="M52" s="7"/>
      <c r="N52" s="36"/>
      <c r="P52" s="36"/>
      <c r="Q52" s="36"/>
      <c r="R52" s="3"/>
      <c r="S52" s="3"/>
      <c r="T52" s="3"/>
      <c r="U52" s="3"/>
      <c r="V52" s="3"/>
      <c r="W52" s="3"/>
      <c r="X52" s="3"/>
      <c r="Y52" s="3"/>
      <c r="Z52" s="11"/>
    </row>
    <row r="53" spans="1:26" ht="15.75" customHeight="1" thickBot="1" x14ac:dyDescent="0.3">
      <c r="A53" s="11"/>
      <c r="B53" s="127">
        <v>20</v>
      </c>
      <c r="C53" s="45" t="e">
        <f t="shared" si="1"/>
        <v>#N/A</v>
      </c>
      <c r="D53" s="131"/>
      <c r="E53" s="117"/>
      <c r="F53" s="45"/>
      <c r="G53" s="4"/>
      <c r="H53" s="42"/>
      <c r="I53" s="43"/>
      <c r="J53" s="4"/>
      <c r="K53" s="44"/>
      <c r="L53" s="45"/>
      <c r="M53" s="6"/>
      <c r="N53" s="43"/>
      <c r="P53" s="43"/>
      <c r="Q53" s="43"/>
      <c r="R53" s="4"/>
      <c r="S53" s="4"/>
      <c r="T53" s="4"/>
      <c r="U53" s="4"/>
      <c r="V53" s="4"/>
      <c r="W53" s="4"/>
      <c r="X53" s="4"/>
      <c r="Y53" s="4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P54" s="65" t="s">
        <v>51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P55" s="65" t="s">
        <v>52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Y64" s="11"/>
      <c r="Z64" s="11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8">
    <mergeCell ref="A20:B20"/>
    <mergeCell ref="S28:Y28"/>
    <mergeCell ref="A19:B19"/>
    <mergeCell ref="A10:B10"/>
    <mergeCell ref="B27:D27"/>
    <mergeCell ref="A13:B13"/>
    <mergeCell ref="A1:N1"/>
    <mergeCell ref="B28:D28"/>
    <mergeCell ref="A16:B16"/>
    <mergeCell ref="S26:Y26"/>
    <mergeCell ref="B32:N32"/>
    <mergeCell ref="P28:R28"/>
    <mergeCell ref="E28:I28"/>
    <mergeCell ref="A18:B18"/>
    <mergeCell ref="J27:N27"/>
    <mergeCell ref="B25:N25"/>
    <mergeCell ref="O1:AB1"/>
    <mergeCell ref="A12:B12"/>
    <mergeCell ref="P25:Y25"/>
    <mergeCell ref="P30:R30"/>
    <mergeCell ref="J26:N26"/>
    <mergeCell ref="A21:B21"/>
    <mergeCell ref="P32:Y32"/>
    <mergeCell ref="A15:B15"/>
    <mergeCell ref="P27:R27"/>
    <mergeCell ref="S30:Y30"/>
    <mergeCell ref="A11:B11"/>
    <mergeCell ref="J28:N28"/>
    <mergeCell ref="S29:Y29"/>
    <mergeCell ref="S27:Y27"/>
    <mergeCell ref="B26:D26"/>
    <mergeCell ref="A14:B14"/>
    <mergeCell ref="E27:I27"/>
    <mergeCell ref="A17:B17"/>
    <mergeCell ref="P26:R26"/>
    <mergeCell ref="E26:I26"/>
    <mergeCell ref="A22:B22"/>
    <mergeCell ref="P29:R29"/>
  </mergeCells>
  <conditionalFormatting sqref="C34:C53">
    <cfRule type="cellIs" dxfId="12" priority="4" operator="between">
      <formula>16</formula>
      <formula>20</formula>
    </cfRule>
    <cfRule type="cellIs" dxfId="11" priority="5" operator="equal">
      <formula>7</formula>
    </cfRule>
    <cfRule type="cellIs" dxfId="10" priority="6" operator="between">
      <formula>5</formula>
      <formula>6</formula>
    </cfRule>
    <cfRule type="cellIs" dxfId="9" priority="7" operator="between">
      <formula>2</formula>
      <formula>4</formula>
    </cfRule>
    <cfRule type="cellIs" dxfId="8" priority="8" operator="equal">
      <formula>1</formula>
    </cfRule>
  </conditionalFormatting>
  <conditionalFormatting sqref="P34:Y53">
    <cfRule type="containsText" dxfId="7" priority="12" operator="containsText" text="(1)">
      <formula>NOT(ISERROR(SEARCH("(1)",P34)))</formula>
    </cfRule>
    <cfRule type="containsText" dxfId="6" priority="13" operator="containsText" text="(2)">
      <formula>NOT(ISERROR(SEARCH("(2)",P34)))</formula>
    </cfRule>
    <cfRule type="containsText" dxfId="5" priority="14" operator="containsText" text="(3)">
      <formula>NOT(ISERROR(SEARCH("(3)",P34)))</formula>
    </cfRule>
    <cfRule type="containsText" dxfId="4" priority="15" operator="containsText" text="(4)">
      <formula>NOT(ISERROR(SEARCH("(4)",P34)))</formula>
    </cfRule>
    <cfRule type="containsText" dxfId="3" priority="16" operator="containsText" text="(5)">
      <formula>NOT(ISERROR(SEARCH("(5)",P34)))</formula>
    </cfRule>
  </conditionalFormatting>
  <conditionalFormatting sqref="W3:AB22">
    <cfRule type="containsText" dxfId="2" priority="1" operator="containsText" text="Expired">
      <formula>NOT(ISERROR(SEARCH("Expired",W3)))</formula>
    </cfRule>
    <cfRule type="containsText" dxfId="1" priority="2" operator="containsText" text="GW">
      <formula>NOT(ISERROR(SEARCH("GW",W3)))</formula>
    </cfRule>
    <cfRule type="containsText" dxfId="0" priority="3" operator="containsText" text="Available">
      <formula>NOT(ISERROR(SEARCH("Available",W3)))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B1000"/>
  <sheetViews>
    <sheetView tabSelected="1" topLeftCell="F1" zoomScale="85" zoomScaleNormal="85" workbookViewId="0">
      <selection sqref="A1:AB53"/>
    </sheetView>
  </sheetViews>
  <sheetFormatPr defaultRowHeight="15" x14ac:dyDescent="0.25"/>
  <cols>
    <col min="1" max="1" width="19.42578125" bestFit="1" customWidth="1"/>
    <col min="2" max="2" width="13.5703125" style="1" bestFit="1" customWidth="1"/>
    <col min="3" max="3" width="13.5703125" style="2" bestFit="1" customWidth="1"/>
    <col min="4" max="4" width="16.5703125" bestFit="1" customWidth="1"/>
    <col min="5" max="5" width="18.5703125" bestFit="1" customWidth="1"/>
    <col min="11" max="11" width="11" bestFit="1" customWidth="1"/>
    <col min="13" max="13" width="14.140625" customWidth="1"/>
    <col min="14" max="14" width="14" bestFit="1" customWidth="1"/>
    <col min="15" max="15" width="25.28515625" bestFit="1" customWidth="1"/>
    <col min="16" max="16" width="36.42578125" customWidth="1"/>
    <col min="17" max="17" width="26.28515625" customWidth="1"/>
    <col min="18" max="18" width="22.42578125" customWidth="1"/>
    <col min="19" max="20" width="20" bestFit="1" customWidth="1"/>
    <col min="21" max="21" width="26.140625" bestFit="1" customWidth="1"/>
    <col min="22" max="22" width="20" bestFit="1" customWidth="1"/>
    <col min="23" max="23" width="17.28515625" customWidth="1"/>
    <col min="24" max="24" width="13" customWidth="1"/>
    <col min="25" max="25" width="10.42578125" bestFit="1" customWidth="1"/>
    <col min="26" max="26" width="13.42578125" bestFit="1" customWidth="1"/>
    <col min="27" max="27" width="11.85546875" bestFit="1" customWidth="1"/>
    <col min="28" max="28" width="13.140625" customWidth="1"/>
  </cols>
  <sheetData>
    <row r="1" spans="1:28" ht="18.75" customHeight="1" thickBot="1" x14ac:dyDescent="0.3">
      <c r="A1" s="244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45"/>
      <c r="O1" s="255" t="s">
        <v>1</v>
      </c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45"/>
    </row>
    <row r="2" spans="1:28" ht="18.75" customHeight="1" thickBot="1" x14ac:dyDescent="0.3">
      <c r="A2" s="12" t="s">
        <v>2</v>
      </c>
      <c r="B2" s="13" t="s">
        <v>3</v>
      </c>
      <c r="C2" s="16" t="s">
        <v>4</v>
      </c>
      <c r="D2" s="168" t="s">
        <v>5</v>
      </c>
      <c r="E2" s="168" t="s">
        <v>6</v>
      </c>
      <c r="F2" s="169" t="s">
        <v>7</v>
      </c>
      <c r="G2" s="168" t="s">
        <v>8</v>
      </c>
      <c r="H2" s="168" t="s">
        <v>9</v>
      </c>
      <c r="I2" s="168" t="s">
        <v>10</v>
      </c>
      <c r="J2" s="168" t="s">
        <v>11</v>
      </c>
      <c r="K2" s="168" t="s">
        <v>12</v>
      </c>
      <c r="L2" s="168" t="s">
        <v>13</v>
      </c>
      <c r="M2" s="169" t="s">
        <v>14</v>
      </c>
      <c r="N2" s="169" t="s">
        <v>15</v>
      </c>
      <c r="O2" s="168" t="s">
        <v>16</v>
      </c>
      <c r="P2" s="168" t="s">
        <v>17</v>
      </c>
      <c r="Q2" s="168" t="s">
        <v>18</v>
      </c>
      <c r="R2" s="168" t="s">
        <v>19</v>
      </c>
      <c r="S2" s="168" t="s">
        <v>20</v>
      </c>
      <c r="T2" s="168" t="s">
        <v>21</v>
      </c>
      <c r="U2" s="168" t="s">
        <v>22</v>
      </c>
      <c r="V2" s="168" t="s">
        <v>23</v>
      </c>
      <c r="W2" s="168" t="s">
        <v>24</v>
      </c>
      <c r="X2" s="168" t="s">
        <v>25</v>
      </c>
      <c r="Y2" s="168" t="s">
        <v>26</v>
      </c>
      <c r="Z2" s="168" t="s">
        <v>27</v>
      </c>
      <c r="AA2" s="168" t="s">
        <v>28</v>
      </c>
      <c r="AB2" s="168" t="s">
        <v>29</v>
      </c>
    </row>
    <row r="3" spans="1:28" ht="18.75" customHeight="1" thickBot="1" x14ac:dyDescent="0.3">
      <c r="A3" s="20" t="s">
        <v>30</v>
      </c>
      <c r="B3" s="21">
        <v>55</v>
      </c>
      <c r="C3" s="74">
        <v>1</v>
      </c>
      <c r="D3" s="105" t="s">
        <v>53</v>
      </c>
      <c r="E3" s="84" t="s">
        <v>54</v>
      </c>
      <c r="F3" s="26">
        <v>93</v>
      </c>
      <c r="G3" s="24">
        <v>31</v>
      </c>
      <c r="H3" s="22">
        <v>0</v>
      </c>
      <c r="I3" s="25">
        <v>7</v>
      </c>
      <c r="J3" s="5">
        <v>38</v>
      </c>
      <c r="K3" s="23">
        <v>0</v>
      </c>
      <c r="L3" s="170">
        <v>2484</v>
      </c>
      <c r="M3" s="22">
        <v>2050</v>
      </c>
      <c r="N3" s="171">
        <v>434</v>
      </c>
      <c r="O3" s="10">
        <v>6</v>
      </c>
      <c r="P3" s="172">
        <v>277</v>
      </c>
      <c r="Q3" s="23">
        <v>0</v>
      </c>
      <c r="R3" s="24">
        <v>0</v>
      </c>
      <c r="S3" s="25">
        <v>33</v>
      </c>
      <c r="T3" s="5">
        <v>0</v>
      </c>
      <c r="U3" s="23">
        <v>93</v>
      </c>
      <c r="V3" s="173" t="s">
        <v>55</v>
      </c>
      <c r="W3" s="174" t="s">
        <v>56</v>
      </c>
      <c r="X3" s="175" t="s">
        <v>57</v>
      </c>
      <c r="Y3" s="176" t="s">
        <v>58</v>
      </c>
      <c r="Z3" s="176" t="s">
        <v>59</v>
      </c>
      <c r="AA3" s="176" t="s">
        <v>60</v>
      </c>
      <c r="AB3" s="176" t="s">
        <v>61</v>
      </c>
    </row>
    <row r="4" spans="1:28" ht="18.75" customHeight="1" x14ac:dyDescent="0.25">
      <c r="A4" s="137" t="s">
        <v>31</v>
      </c>
      <c r="B4" s="138">
        <v>45</v>
      </c>
      <c r="C4" s="139">
        <v>2</v>
      </c>
      <c r="D4" s="108" t="s">
        <v>62</v>
      </c>
      <c r="E4" s="85" t="s">
        <v>63</v>
      </c>
      <c r="F4" s="53">
        <v>79</v>
      </c>
      <c r="G4" s="9">
        <v>26</v>
      </c>
      <c r="H4" s="50">
        <v>1</v>
      </c>
      <c r="I4" s="52">
        <v>11</v>
      </c>
      <c r="J4" s="49">
        <v>38</v>
      </c>
      <c r="K4" s="51">
        <v>0</v>
      </c>
      <c r="L4" s="177">
        <v>2375</v>
      </c>
      <c r="M4" s="50">
        <v>2069</v>
      </c>
      <c r="N4" s="178">
        <v>306</v>
      </c>
      <c r="O4" s="48">
        <v>0</v>
      </c>
      <c r="P4" s="177">
        <v>295</v>
      </c>
      <c r="Q4" s="51">
        <v>1</v>
      </c>
      <c r="R4" s="9">
        <v>0</v>
      </c>
      <c r="S4" s="179">
        <v>40</v>
      </c>
      <c r="T4" s="180">
        <v>24</v>
      </c>
      <c r="U4" s="51">
        <v>79</v>
      </c>
      <c r="V4" s="181" t="s">
        <v>64</v>
      </c>
      <c r="W4" s="182" t="s">
        <v>56</v>
      </c>
      <c r="X4" s="183" t="s">
        <v>57</v>
      </c>
      <c r="Y4" s="184" t="s">
        <v>65</v>
      </c>
      <c r="Z4" s="184" t="s">
        <v>60</v>
      </c>
      <c r="AA4" s="184" t="s">
        <v>66</v>
      </c>
      <c r="AB4" s="184" t="s">
        <v>59</v>
      </c>
    </row>
    <row r="5" spans="1:28" ht="18.75" customHeight="1" x14ac:dyDescent="0.25">
      <c r="A5" s="33" t="s">
        <v>31</v>
      </c>
      <c r="B5" s="34">
        <v>40</v>
      </c>
      <c r="C5" s="75">
        <v>3</v>
      </c>
      <c r="D5" s="106" t="s">
        <v>67</v>
      </c>
      <c r="E5" s="63" t="s">
        <v>68</v>
      </c>
      <c r="F5" s="38">
        <v>75</v>
      </c>
      <c r="G5" s="3">
        <v>25</v>
      </c>
      <c r="H5" s="96">
        <v>0</v>
      </c>
      <c r="I5" s="37">
        <v>13</v>
      </c>
      <c r="J5" s="7">
        <v>38</v>
      </c>
      <c r="K5" s="36">
        <v>0</v>
      </c>
      <c r="L5" s="153">
        <v>2325</v>
      </c>
      <c r="M5" s="273">
        <v>2120</v>
      </c>
      <c r="N5" s="36">
        <v>205</v>
      </c>
      <c r="O5" s="35">
        <v>5</v>
      </c>
      <c r="P5" s="7">
        <v>127</v>
      </c>
      <c r="Q5" s="36">
        <v>0</v>
      </c>
      <c r="R5" s="3">
        <v>0</v>
      </c>
      <c r="S5" s="37">
        <v>19</v>
      </c>
      <c r="T5" s="7">
        <v>0</v>
      </c>
      <c r="U5" s="36">
        <v>75</v>
      </c>
      <c r="V5" s="185" t="s">
        <v>69</v>
      </c>
      <c r="W5" s="186" t="s">
        <v>70</v>
      </c>
      <c r="X5" s="187" t="s">
        <v>65</v>
      </c>
      <c r="Y5" s="282" t="s">
        <v>136</v>
      </c>
      <c r="Z5" s="188" t="s">
        <v>71</v>
      </c>
      <c r="AA5" s="282" t="s">
        <v>136</v>
      </c>
      <c r="AB5" s="282" t="s">
        <v>136</v>
      </c>
    </row>
    <row r="6" spans="1:28" ht="18.75" customHeight="1" thickBot="1" x14ac:dyDescent="0.3">
      <c r="A6" s="39" t="s">
        <v>31</v>
      </c>
      <c r="B6" s="40">
        <v>30</v>
      </c>
      <c r="C6" s="76">
        <v>4</v>
      </c>
      <c r="D6" s="107" t="s">
        <v>72</v>
      </c>
      <c r="E6" s="64" t="s">
        <v>73</v>
      </c>
      <c r="F6" s="45">
        <v>72</v>
      </c>
      <c r="G6" s="4">
        <v>24</v>
      </c>
      <c r="H6" s="42">
        <v>0</v>
      </c>
      <c r="I6" s="44">
        <v>14</v>
      </c>
      <c r="J6" s="6">
        <v>38</v>
      </c>
      <c r="K6" s="43">
        <v>0</v>
      </c>
      <c r="L6" s="6">
        <v>2209</v>
      </c>
      <c r="M6" s="42">
        <v>1965</v>
      </c>
      <c r="N6" s="43">
        <v>244</v>
      </c>
      <c r="O6" s="41">
        <v>3</v>
      </c>
      <c r="P6" s="6">
        <v>133</v>
      </c>
      <c r="Q6" s="189">
        <v>2</v>
      </c>
      <c r="R6" s="4">
        <v>0</v>
      </c>
      <c r="S6" s="190">
        <v>45</v>
      </c>
      <c r="T6" s="191">
        <v>36</v>
      </c>
      <c r="U6" s="43">
        <v>72</v>
      </c>
      <c r="V6" s="192" t="s">
        <v>74</v>
      </c>
      <c r="W6" s="193" t="s">
        <v>60</v>
      </c>
      <c r="X6" s="281" t="s">
        <v>136</v>
      </c>
      <c r="Y6" s="283" t="s">
        <v>136</v>
      </c>
      <c r="Z6" s="194" t="s">
        <v>59</v>
      </c>
      <c r="AA6" s="283" t="s">
        <v>136</v>
      </c>
      <c r="AB6" s="194" t="s">
        <v>75</v>
      </c>
    </row>
    <row r="7" spans="1:28" ht="18.75" customHeight="1" x14ac:dyDescent="0.25">
      <c r="A7" s="46" t="s">
        <v>32</v>
      </c>
      <c r="B7" s="47">
        <v>20</v>
      </c>
      <c r="C7" s="89">
        <v>5</v>
      </c>
      <c r="D7" s="108" t="s">
        <v>76</v>
      </c>
      <c r="E7" s="85" t="s">
        <v>77</v>
      </c>
      <c r="F7" s="53">
        <v>69</v>
      </c>
      <c r="G7" s="9">
        <v>23</v>
      </c>
      <c r="H7" s="50">
        <v>0</v>
      </c>
      <c r="I7" s="52">
        <v>15</v>
      </c>
      <c r="J7" s="49">
        <v>38</v>
      </c>
      <c r="K7" s="51">
        <v>0</v>
      </c>
      <c r="L7" s="49">
        <v>2284</v>
      </c>
      <c r="M7" s="50">
        <v>2080</v>
      </c>
      <c r="N7" s="160">
        <v>204</v>
      </c>
      <c r="O7" s="195">
        <v>10</v>
      </c>
      <c r="P7" s="49">
        <v>239</v>
      </c>
      <c r="Q7" s="178">
        <v>2</v>
      </c>
      <c r="R7" s="9">
        <v>0</v>
      </c>
      <c r="S7" s="52">
        <v>26</v>
      </c>
      <c r="T7" s="49">
        <v>0</v>
      </c>
      <c r="U7" s="51">
        <v>69</v>
      </c>
      <c r="V7" s="181" t="s">
        <v>78</v>
      </c>
      <c r="W7" s="196" t="s">
        <v>60</v>
      </c>
      <c r="X7" s="279" t="s">
        <v>136</v>
      </c>
      <c r="Y7" s="160" t="s">
        <v>136</v>
      </c>
      <c r="Z7" s="197" t="s">
        <v>71</v>
      </c>
      <c r="AA7" s="197" t="s">
        <v>79</v>
      </c>
      <c r="AB7" s="197" t="s">
        <v>66</v>
      </c>
    </row>
    <row r="8" spans="1:28" ht="18.75" customHeight="1" thickBot="1" x14ac:dyDescent="0.3">
      <c r="A8" s="54" t="s">
        <v>32</v>
      </c>
      <c r="B8" s="55">
        <v>20</v>
      </c>
      <c r="C8" s="90">
        <v>6</v>
      </c>
      <c r="D8" s="164" t="s">
        <v>80</v>
      </c>
      <c r="E8" s="86" t="s">
        <v>81</v>
      </c>
      <c r="F8" s="62">
        <v>69</v>
      </c>
      <c r="G8" s="60">
        <v>23</v>
      </c>
      <c r="H8" s="58">
        <v>0</v>
      </c>
      <c r="I8" s="61">
        <v>15</v>
      </c>
      <c r="J8" s="57">
        <v>38</v>
      </c>
      <c r="K8" s="59">
        <v>0</v>
      </c>
      <c r="L8" s="57">
        <v>2008</v>
      </c>
      <c r="M8" s="58">
        <v>1962</v>
      </c>
      <c r="N8" s="59">
        <v>46</v>
      </c>
      <c r="O8" s="56">
        <v>0</v>
      </c>
      <c r="P8" s="198">
        <v>0</v>
      </c>
      <c r="Q8" s="59">
        <v>0</v>
      </c>
      <c r="R8" s="60">
        <v>0</v>
      </c>
      <c r="S8" s="199">
        <v>0</v>
      </c>
      <c r="T8" s="57">
        <v>0</v>
      </c>
      <c r="U8" s="59">
        <v>69</v>
      </c>
      <c r="V8" s="200" t="s">
        <v>82</v>
      </c>
      <c r="W8" s="274" t="s">
        <v>136</v>
      </c>
      <c r="X8" s="278" t="s">
        <v>136</v>
      </c>
      <c r="Y8" s="284" t="s">
        <v>136</v>
      </c>
      <c r="Z8" s="284" t="s">
        <v>136</v>
      </c>
      <c r="AA8" s="284" t="s">
        <v>136</v>
      </c>
      <c r="AB8" s="284" t="s">
        <v>136</v>
      </c>
    </row>
    <row r="9" spans="1:28" ht="18.75" customHeight="1" thickBot="1" x14ac:dyDescent="0.3">
      <c r="A9" s="140" t="s">
        <v>32</v>
      </c>
      <c r="B9" s="141">
        <v>15</v>
      </c>
      <c r="C9" s="142">
        <v>7</v>
      </c>
      <c r="D9" s="105" t="s">
        <v>83</v>
      </c>
      <c r="E9" s="84" t="s">
        <v>84</v>
      </c>
      <c r="F9" s="26">
        <v>66</v>
      </c>
      <c r="G9" s="24">
        <v>22</v>
      </c>
      <c r="H9" s="22">
        <v>0</v>
      </c>
      <c r="I9" s="25">
        <v>16</v>
      </c>
      <c r="J9" s="5">
        <v>38</v>
      </c>
      <c r="K9" s="23">
        <v>0</v>
      </c>
      <c r="L9" s="5">
        <v>2171</v>
      </c>
      <c r="M9" s="201">
        <v>1896</v>
      </c>
      <c r="N9" s="23">
        <v>275</v>
      </c>
      <c r="O9" s="10">
        <v>9</v>
      </c>
      <c r="P9" s="5">
        <v>81</v>
      </c>
      <c r="Q9" s="171">
        <v>4</v>
      </c>
      <c r="R9" s="24">
        <v>0</v>
      </c>
      <c r="S9" s="25">
        <v>15</v>
      </c>
      <c r="T9" s="5">
        <v>0</v>
      </c>
      <c r="U9" s="23">
        <v>66</v>
      </c>
      <c r="V9" s="202" t="s">
        <v>85</v>
      </c>
      <c r="W9" s="275" t="s">
        <v>136</v>
      </c>
      <c r="X9" s="277" t="s">
        <v>136</v>
      </c>
      <c r="Y9" s="176" t="s">
        <v>65</v>
      </c>
      <c r="Z9" s="176" t="s">
        <v>61</v>
      </c>
      <c r="AA9" s="176" t="s">
        <v>71</v>
      </c>
      <c r="AB9" s="176" t="s">
        <v>66</v>
      </c>
    </row>
    <row r="10" spans="1:28" ht="18.75" customHeight="1" x14ac:dyDescent="0.25">
      <c r="A10" s="267" t="s">
        <v>33</v>
      </c>
      <c r="B10" s="268"/>
      <c r="C10" s="77">
        <v>8</v>
      </c>
      <c r="D10" s="108" t="s">
        <v>86</v>
      </c>
      <c r="E10" s="85" t="s">
        <v>87</v>
      </c>
      <c r="F10" s="53">
        <v>64</v>
      </c>
      <c r="G10" s="9">
        <v>21</v>
      </c>
      <c r="H10" s="50">
        <v>1</v>
      </c>
      <c r="I10" s="52">
        <v>16</v>
      </c>
      <c r="J10" s="49">
        <v>38</v>
      </c>
      <c r="K10" s="51">
        <v>0</v>
      </c>
      <c r="L10" s="180">
        <v>2362</v>
      </c>
      <c r="M10" s="50">
        <v>2062</v>
      </c>
      <c r="N10" s="203">
        <v>300</v>
      </c>
      <c r="O10" s="204">
        <v>15</v>
      </c>
      <c r="P10" s="205">
        <v>347</v>
      </c>
      <c r="Q10" s="51">
        <v>0</v>
      </c>
      <c r="R10" s="9">
        <v>0</v>
      </c>
      <c r="S10" s="206">
        <v>35</v>
      </c>
      <c r="T10" s="49">
        <v>4</v>
      </c>
      <c r="U10" s="51">
        <v>64</v>
      </c>
      <c r="V10" s="207" t="s">
        <v>88</v>
      </c>
      <c r="W10" s="196" t="s">
        <v>89</v>
      </c>
      <c r="X10" s="279" t="s">
        <v>136</v>
      </c>
      <c r="Y10" s="197" t="s">
        <v>65</v>
      </c>
      <c r="Z10" s="197" t="s">
        <v>79</v>
      </c>
      <c r="AA10" s="197" t="s">
        <v>60</v>
      </c>
      <c r="AB10" s="197" t="s">
        <v>58</v>
      </c>
    </row>
    <row r="11" spans="1:28" ht="18.75" customHeight="1" x14ac:dyDescent="0.25">
      <c r="A11" s="234" t="s">
        <v>33</v>
      </c>
      <c r="B11" s="235"/>
      <c r="C11" s="78">
        <v>9</v>
      </c>
      <c r="D11" s="106" t="s">
        <v>90</v>
      </c>
      <c r="E11" s="63" t="s">
        <v>91</v>
      </c>
      <c r="F11" s="38">
        <v>64</v>
      </c>
      <c r="G11" s="3">
        <v>21</v>
      </c>
      <c r="H11" s="96">
        <v>1</v>
      </c>
      <c r="I11" s="37">
        <v>16</v>
      </c>
      <c r="J11" s="7">
        <v>38</v>
      </c>
      <c r="K11" s="36">
        <v>0</v>
      </c>
      <c r="L11" s="7">
        <v>2093</v>
      </c>
      <c r="M11" s="96">
        <v>1939</v>
      </c>
      <c r="N11" s="36">
        <v>154</v>
      </c>
      <c r="O11" s="208">
        <v>10</v>
      </c>
      <c r="P11" s="7">
        <v>156</v>
      </c>
      <c r="Q11" s="36">
        <v>0</v>
      </c>
      <c r="R11" s="3">
        <v>0</v>
      </c>
      <c r="S11" s="37">
        <v>29</v>
      </c>
      <c r="T11" s="7">
        <v>4</v>
      </c>
      <c r="U11" s="36">
        <v>64</v>
      </c>
      <c r="V11" s="185" t="s">
        <v>92</v>
      </c>
      <c r="W11" s="186" t="s">
        <v>93</v>
      </c>
      <c r="X11" s="280" t="s">
        <v>136</v>
      </c>
      <c r="Y11" s="282" t="s">
        <v>136</v>
      </c>
      <c r="Z11" s="188" t="s">
        <v>94</v>
      </c>
      <c r="AA11" s="188" t="s">
        <v>95</v>
      </c>
      <c r="AB11" s="188" t="s">
        <v>96</v>
      </c>
    </row>
    <row r="12" spans="1:28" ht="18.75" customHeight="1" x14ac:dyDescent="0.25">
      <c r="A12" s="234" t="s">
        <v>33</v>
      </c>
      <c r="B12" s="235"/>
      <c r="C12" s="78">
        <v>10</v>
      </c>
      <c r="D12" s="106" t="s">
        <v>97</v>
      </c>
      <c r="E12" s="63" t="s">
        <v>98</v>
      </c>
      <c r="F12" s="38">
        <v>64</v>
      </c>
      <c r="G12" s="3">
        <v>21</v>
      </c>
      <c r="H12" s="96">
        <v>1</v>
      </c>
      <c r="I12" s="37">
        <v>16</v>
      </c>
      <c r="J12" s="7">
        <v>38</v>
      </c>
      <c r="K12" s="36">
        <v>0</v>
      </c>
      <c r="L12" s="7">
        <v>2006</v>
      </c>
      <c r="M12" s="209">
        <v>1932</v>
      </c>
      <c r="N12" s="36">
        <v>74</v>
      </c>
      <c r="O12" s="35">
        <v>3</v>
      </c>
      <c r="P12" s="7">
        <v>158</v>
      </c>
      <c r="Q12" s="36">
        <v>0</v>
      </c>
      <c r="R12" s="3">
        <v>0</v>
      </c>
      <c r="S12" s="37">
        <v>9</v>
      </c>
      <c r="T12" s="7">
        <v>0</v>
      </c>
      <c r="U12" s="36">
        <v>64</v>
      </c>
      <c r="V12" s="185" t="s">
        <v>99</v>
      </c>
      <c r="W12" s="186" t="s">
        <v>100</v>
      </c>
      <c r="X12" s="280" t="s">
        <v>136</v>
      </c>
      <c r="Y12" s="188" t="s">
        <v>101</v>
      </c>
      <c r="Z12" s="282" t="s">
        <v>136</v>
      </c>
      <c r="AA12" s="282" t="s">
        <v>136</v>
      </c>
      <c r="AB12" s="282" t="s">
        <v>136</v>
      </c>
    </row>
    <row r="13" spans="1:28" ht="18.75" customHeight="1" x14ac:dyDescent="0.25">
      <c r="A13" s="234" t="s">
        <v>33</v>
      </c>
      <c r="B13" s="235"/>
      <c r="C13" s="78">
        <v>11</v>
      </c>
      <c r="D13" s="106" t="s">
        <v>102</v>
      </c>
      <c r="E13" s="63" t="s">
        <v>103</v>
      </c>
      <c r="F13" s="38">
        <v>58</v>
      </c>
      <c r="G13" s="3">
        <v>19</v>
      </c>
      <c r="H13" s="96">
        <v>1</v>
      </c>
      <c r="I13" s="37">
        <v>18</v>
      </c>
      <c r="J13" s="7">
        <v>38</v>
      </c>
      <c r="K13" s="36">
        <v>0</v>
      </c>
      <c r="L13" s="7">
        <v>2102</v>
      </c>
      <c r="M13" s="96">
        <v>2049</v>
      </c>
      <c r="N13" s="36">
        <v>53</v>
      </c>
      <c r="O13" s="35">
        <v>0</v>
      </c>
      <c r="P13" s="7">
        <v>116</v>
      </c>
      <c r="Q13" s="36">
        <v>1</v>
      </c>
      <c r="R13" s="3">
        <v>0</v>
      </c>
      <c r="S13" s="37">
        <v>15</v>
      </c>
      <c r="T13" s="7">
        <v>0</v>
      </c>
      <c r="U13" s="36">
        <v>58</v>
      </c>
      <c r="V13" s="185" t="s">
        <v>104</v>
      </c>
      <c r="W13" s="186" t="s">
        <v>71</v>
      </c>
      <c r="X13" s="280" t="s">
        <v>136</v>
      </c>
      <c r="Y13" s="282" t="s">
        <v>136</v>
      </c>
      <c r="Z13" s="188" t="s">
        <v>79</v>
      </c>
      <c r="AA13" s="188" t="s">
        <v>66</v>
      </c>
      <c r="AB13" s="188" t="s">
        <v>105</v>
      </c>
    </row>
    <row r="14" spans="1:28" ht="18.75" customHeight="1" x14ac:dyDescent="0.25">
      <c r="A14" s="234" t="s">
        <v>33</v>
      </c>
      <c r="B14" s="235"/>
      <c r="C14" s="78">
        <v>12</v>
      </c>
      <c r="D14" s="106" t="s">
        <v>106</v>
      </c>
      <c r="E14" s="63" t="s">
        <v>107</v>
      </c>
      <c r="F14" s="38">
        <v>51</v>
      </c>
      <c r="G14" s="3">
        <v>17</v>
      </c>
      <c r="H14" s="96">
        <v>0</v>
      </c>
      <c r="I14" s="37">
        <v>21</v>
      </c>
      <c r="J14" s="7">
        <v>38</v>
      </c>
      <c r="K14" s="36">
        <v>0</v>
      </c>
      <c r="L14" s="7">
        <v>2016</v>
      </c>
      <c r="M14" s="96">
        <v>1996</v>
      </c>
      <c r="N14" s="36">
        <v>20</v>
      </c>
      <c r="O14" s="35">
        <v>0</v>
      </c>
      <c r="P14" s="210">
        <v>52</v>
      </c>
      <c r="Q14" s="36">
        <v>1</v>
      </c>
      <c r="R14" s="3">
        <v>0</v>
      </c>
      <c r="S14" s="37">
        <v>23</v>
      </c>
      <c r="T14" s="7">
        <v>0</v>
      </c>
      <c r="U14" s="36">
        <v>51</v>
      </c>
      <c r="V14" s="185" t="s">
        <v>108</v>
      </c>
      <c r="W14" s="153" t="s">
        <v>136</v>
      </c>
      <c r="X14" s="280" t="s">
        <v>136</v>
      </c>
      <c r="Y14" s="282" t="s">
        <v>136</v>
      </c>
      <c r="Z14" s="282" t="s">
        <v>136</v>
      </c>
      <c r="AA14" s="282" t="s">
        <v>136</v>
      </c>
      <c r="AB14" s="282" t="s">
        <v>136</v>
      </c>
    </row>
    <row r="15" spans="1:28" ht="18.75" customHeight="1" x14ac:dyDescent="0.25">
      <c r="A15" s="234" t="s">
        <v>33</v>
      </c>
      <c r="B15" s="235"/>
      <c r="C15" s="78">
        <v>13</v>
      </c>
      <c r="D15" s="106" t="s">
        <v>109</v>
      </c>
      <c r="E15" s="63" t="s">
        <v>110</v>
      </c>
      <c r="F15" s="38">
        <v>51</v>
      </c>
      <c r="G15" s="3">
        <v>17</v>
      </c>
      <c r="H15" s="96">
        <v>0</v>
      </c>
      <c r="I15" s="37">
        <v>21</v>
      </c>
      <c r="J15" s="7">
        <v>38</v>
      </c>
      <c r="K15" s="36">
        <v>0</v>
      </c>
      <c r="L15" s="7">
        <v>1931</v>
      </c>
      <c r="M15" s="96">
        <v>2016</v>
      </c>
      <c r="N15" s="36">
        <v>-85</v>
      </c>
      <c r="O15" s="208">
        <v>10</v>
      </c>
      <c r="P15" s="7">
        <v>196</v>
      </c>
      <c r="Q15" s="36">
        <v>0</v>
      </c>
      <c r="R15" s="3">
        <v>0</v>
      </c>
      <c r="S15" s="37">
        <v>3</v>
      </c>
      <c r="T15" s="7">
        <v>0</v>
      </c>
      <c r="U15" s="36">
        <v>51</v>
      </c>
      <c r="V15" s="185" t="s">
        <v>111</v>
      </c>
      <c r="W15" s="153" t="s">
        <v>136</v>
      </c>
      <c r="X15" s="280" t="s">
        <v>136</v>
      </c>
      <c r="Y15" s="282" t="s">
        <v>136</v>
      </c>
      <c r="Z15" s="282" t="s">
        <v>136</v>
      </c>
      <c r="AA15" s="282" t="s">
        <v>136</v>
      </c>
      <c r="AB15" s="282" t="s">
        <v>136</v>
      </c>
    </row>
    <row r="16" spans="1:28" ht="18.75" customHeight="1" x14ac:dyDescent="0.25">
      <c r="A16" s="234" t="s">
        <v>33</v>
      </c>
      <c r="B16" s="235"/>
      <c r="C16" s="78">
        <v>14</v>
      </c>
      <c r="D16" s="106" t="s">
        <v>112</v>
      </c>
      <c r="E16" s="63" t="s">
        <v>113</v>
      </c>
      <c r="F16" s="38">
        <v>49</v>
      </c>
      <c r="G16" s="3">
        <v>16</v>
      </c>
      <c r="H16" s="96">
        <v>1</v>
      </c>
      <c r="I16" s="37">
        <v>21</v>
      </c>
      <c r="J16" s="7">
        <v>38</v>
      </c>
      <c r="K16" s="36">
        <v>0</v>
      </c>
      <c r="L16" s="210">
        <v>1621</v>
      </c>
      <c r="M16" s="96">
        <v>1943</v>
      </c>
      <c r="N16" s="36">
        <v>-322</v>
      </c>
      <c r="O16" s="35">
        <v>3</v>
      </c>
      <c r="P16" s="210">
        <v>68</v>
      </c>
      <c r="Q16" s="36">
        <v>0</v>
      </c>
      <c r="R16" s="3">
        <v>0</v>
      </c>
      <c r="S16" s="37">
        <v>13</v>
      </c>
      <c r="T16" s="211">
        <v>40</v>
      </c>
      <c r="U16" s="36">
        <v>49</v>
      </c>
      <c r="V16" s="185" t="s">
        <v>114</v>
      </c>
      <c r="W16" s="153" t="s">
        <v>136</v>
      </c>
      <c r="X16" s="280" t="s">
        <v>136</v>
      </c>
      <c r="Y16" s="282" t="s">
        <v>136</v>
      </c>
      <c r="Z16" s="188" t="s">
        <v>115</v>
      </c>
      <c r="AA16" s="282" t="s">
        <v>136</v>
      </c>
      <c r="AB16" s="282" t="s">
        <v>136</v>
      </c>
    </row>
    <row r="17" spans="1:28" ht="18.75" customHeight="1" x14ac:dyDescent="0.25">
      <c r="A17" s="234" t="s">
        <v>33</v>
      </c>
      <c r="B17" s="235"/>
      <c r="C17" s="78">
        <v>15</v>
      </c>
      <c r="D17" s="106" t="s">
        <v>116</v>
      </c>
      <c r="E17" s="63" t="s">
        <v>117</v>
      </c>
      <c r="F17" s="38">
        <v>48</v>
      </c>
      <c r="G17" s="3">
        <v>16</v>
      </c>
      <c r="H17" s="96">
        <v>0</v>
      </c>
      <c r="I17" s="37">
        <v>22</v>
      </c>
      <c r="J17" s="7">
        <v>38</v>
      </c>
      <c r="K17" s="36">
        <v>0</v>
      </c>
      <c r="L17" s="7">
        <v>1908</v>
      </c>
      <c r="M17" s="96">
        <v>1986</v>
      </c>
      <c r="N17" s="36">
        <v>-78</v>
      </c>
      <c r="O17" s="35">
        <v>6</v>
      </c>
      <c r="P17" s="7">
        <v>123</v>
      </c>
      <c r="Q17" s="36">
        <v>0</v>
      </c>
      <c r="R17" s="3">
        <v>0</v>
      </c>
      <c r="S17" s="37">
        <v>15</v>
      </c>
      <c r="T17" s="7">
        <v>20</v>
      </c>
      <c r="U17" s="36">
        <v>48</v>
      </c>
      <c r="V17" s="185" t="s">
        <v>118</v>
      </c>
      <c r="W17" s="212" t="s">
        <v>119</v>
      </c>
      <c r="X17" s="278" t="s">
        <v>136</v>
      </c>
      <c r="Y17" s="213" t="s">
        <v>120</v>
      </c>
      <c r="Z17" s="284" t="s">
        <v>136</v>
      </c>
      <c r="AA17" s="284" t="s">
        <v>136</v>
      </c>
      <c r="AB17" s="284" t="s">
        <v>136</v>
      </c>
    </row>
    <row r="18" spans="1:28" ht="18.75" customHeight="1" x14ac:dyDescent="0.25">
      <c r="A18" s="234" t="s">
        <v>33</v>
      </c>
      <c r="B18" s="235"/>
      <c r="C18" s="78">
        <v>16</v>
      </c>
      <c r="D18" s="106" t="s">
        <v>121</v>
      </c>
      <c r="E18" s="63" t="s">
        <v>122</v>
      </c>
      <c r="F18" s="38">
        <v>47</v>
      </c>
      <c r="G18" s="3">
        <v>15</v>
      </c>
      <c r="H18" s="96">
        <v>2</v>
      </c>
      <c r="I18" s="37">
        <v>21</v>
      </c>
      <c r="J18" s="7">
        <v>38</v>
      </c>
      <c r="K18" s="36">
        <v>0</v>
      </c>
      <c r="L18" s="7">
        <v>1942</v>
      </c>
      <c r="M18" s="273">
        <v>2106</v>
      </c>
      <c r="N18" s="36">
        <v>-164</v>
      </c>
      <c r="O18" s="35">
        <v>0</v>
      </c>
      <c r="P18" s="7">
        <v>121</v>
      </c>
      <c r="Q18" s="36">
        <v>0</v>
      </c>
      <c r="R18" s="3">
        <v>0</v>
      </c>
      <c r="S18" s="37">
        <v>25</v>
      </c>
      <c r="T18" s="7">
        <v>0</v>
      </c>
      <c r="U18" s="36">
        <v>47</v>
      </c>
      <c r="V18" s="185" t="s">
        <v>123</v>
      </c>
      <c r="W18" s="186" t="s">
        <v>100</v>
      </c>
      <c r="X18" s="280" t="s">
        <v>136</v>
      </c>
      <c r="Y18" s="282" t="s">
        <v>136</v>
      </c>
      <c r="Z18" s="282" t="s">
        <v>136</v>
      </c>
      <c r="AA18" s="188" t="s">
        <v>75</v>
      </c>
      <c r="AB18" s="282" t="s">
        <v>136</v>
      </c>
    </row>
    <row r="19" spans="1:28" ht="18.75" customHeight="1" x14ac:dyDescent="0.25">
      <c r="A19" s="234" t="s">
        <v>33</v>
      </c>
      <c r="B19" s="235"/>
      <c r="C19" s="78">
        <v>17</v>
      </c>
      <c r="D19" s="106" t="s">
        <v>124</v>
      </c>
      <c r="E19" s="63" t="s">
        <v>125</v>
      </c>
      <c r="F19" s="38">
        <v>33</v>
      </c>
      <c r="G19" s="3">
        <v>11</v>
      </c>
      <c r="H19" s="96">
        <v>0</v>
      </c>
      <c r="I19" s="37">
        <v>27</v>
      </c>
      <c r="J19" s="7">
        <v>38</v>
      </c>
      <c r="K19" s="36">
        <v>0</v>
      </c>
      <c r="L19" s="7">
        <v>1645</v>
      </c>
      <c r="M19" s="96">
        <v>2090</v>
      </c>
      <c r="N19" s="214">
        <v>-445</v>
      </c>
      <c r="O19" s="35">
        <v>0</v>
      </c>
      <c r="P19" s="7">
        <v>84</v>
      </c>
      <c r="Q19" s="36">
        <v>0</v>
      </c>
      <c r="R19" s="3">
        <v>0</v>
      </c>
      <c r="S19" s="215">
        <v>0</v>
      </c>
      <c r="T19" s="7">
        <v>0</v>
      </c>
      <c r="U19" s="36">
        <v>33</v>
      </c>
      <c r="V19" s="185" t="s">
        <v>123</v>
      </c>
      <c r="W19" s="276" t="s">
        <v>136</v>
      </c>
      <c r="X19" s="279" t="s">
        <v>136</v>
      </c>
      <c r="Y19" s="160" t="s">
        <v>136</v>
      </c>
      <c r="Z19" s="160" t="s">
        <v>136</v>
      </c>
      <c r="AA19" s="160" t="s">
        <v>136</v>
      </c>
      <c r="AB19" s="160" t="s">
        <v>136</v>
      </c>
    </row>
    <row r="20" spans="1:28" ht="18.75" customHeight="1" x14ac:dyDescent="0.25">
      <c r="A20" s="234" t="s">
        <v>33</v>
      </c>
      <c r="B20" s="235"/>
      <c r="C20" s="78">
        <v>18</v>
      </c>
      <c r="D20" s="106" t="s">
        <v>126</v>
      </c>
      <c r="E20" s="63" t="s">
        <v>127</v>
      </c>
      <c r="F20" s="38">
        <v>32</v>
      </c>
      <c r="G20" s="3">
        <v>10</v>
      </c>
      <c r="H20" s="96">
        <v>2</v>
      </c>
      <c r="I20" s="37">
        <v>26</v>
      </c>
      <c r="J20" s="7">
        <v>38</v>
      </c>
      <c r="K20" s="36">
        <v>0</v>
      </c>
      <c r="L20" s="7">
        <v>1635</v>
      </c>
      <c r="M20" s="96">
        <v>2003</v>
      </c>
      <c r="N20" s="214">
        <v>-368</v>
      </c>
      <c r="O20" s="208">
        <v>10</v>
      </c>
      <c r="P20" s="7">
        <v>73</v>
      </c>
      <c r="Q20" s="36">
        <v>0</v>
      </c>
      <c r="R20" s="3">
        <v>0</v>
      </c>
      <c r="S20" s="37">
        <v>6</v>
      </c>
      <c r="T20" s="7">
        <v>0</v>
      </c>
      <c r="U20" s="36">
        <v>32</v>
      </c>
      <c r="V20" s="185" t="s">
        <v>128</v>
      </c>
      <c r="W20" s="186" t="s">
        <v>129</v>
      </c>
      <c r="X20" s="187" t="s">
        <v>66</v>
      </c>
      <c r="Y20" s="282" t="s">
        <v>136</v>
      </c>
      <c r="Z20" s="282" t="s">
        <v>136</v>
      </c>
      <c r="AA20" s="282" t="s">
        <v>136</v>
      </c>
      <c r="AB20" s="282" t="s">
        <v>136</v>
      </c>
    </row>
    <row r="21" spans="1:28" ht="18.75" customHeight="1" thickBot="1" x14ac:dyDescent="0.3">
      <c r="A21" s="260" t="s">
        <v>33</v>
      </c>
      <c r="B21" s="261"/>
      <c r="C21" s="91">
        <v>19</v>
      </c>
      <c r="D21" s="164" t="s">
        <v>130</v>
      </c>
      <c r="E21" s="86" t="s">
        <v>131</v>
      </c>
      <c r="F21" s="62">
        <v>27</v>
      </c>
      <c r="G21" s="60">
        <v>9</v>
      </c>
      <c r="H21" s="58">
        <v>0</v>
      </c>
      <c r="I21" s="61">
        <v>29</v>
      </c>
      <c r="J21" s="57">
        <v>38</v>
      </c>
      <c r="K21" s="59">
        <v>0</v>
      </c>
      <c r="L21" s="198">
        <v>1557</v>
      </c>
      <c r="M21" s="216">
        <v>1913</v>
      </c>
      <c r="N21" s="59">
        <v>-356</v>
      </c>
      <c r="O21" s="56">
        <v>-2</v>
      </c>
      <c r="P21" s="57">
        <v>116</v>
      </c>
      <c r="Q21" s="59">
        <v>0</v>
      </c>
      <c r="R21" s="60">
        <v>0</v>
      </c>
      <c r="S21" s="199">
        <v>0</v>
      </c>
      <c r="T21" s="57">
        <v>0</v>
      </c>
      <c r="U21" s="59">
        <v>27</v>
      </c>
      <c r="V21" s="217" t="s">
        <v>132</v>
      </c>
      <c r="W21" s="274" t="s">
        <v>136</v>
      </c>
      <c r="X21" s="278" t="s">
        <v>136</v>
      </c>
      <c r="Y21" s="284" t="s">
        <v>136</v>
      </c>
      <c r="Z21" s="284" t="s">
        <v>136</v>
      </c>
      <c r="AA21" s="284" t="s">
        <v>136</v>
      </c>
      <c r="AB21" s="284" t="s">
        <v>136</v>
      </c>
    </row>
    <row r="22" spans="1:28" ht="18.75" customHeight="1" thickBot="1" x14ac:dyDescent="0.3">
      <c r="A22" s="266" t="s">
        <v>34</v>
      </c>
      <c r="B22" s="245"/>
      <c r="C22" s="79">
        <v>20</v>
      </c>
      <c r="D22" s="105" t="s">
        <v>133</v>
      </c>
      <c r="E22" s="84" t="s">
        <v>134</v>
      </c>
      <c r="F22" s="26">
        <v>23</v>
      </c>
      <c r="G22" s="24">
        <v>7</v>
      </c>
      <c r="H22" s="22">
        <v>2</v>
      </c>
      <c r="I22" s="25">
        <v>29</v>
      </c>
      <c r="J22" s="5">
        <v>38</v>
      </c>
      <c r="K22" s="23">
        <v>0</v>
      </c>
      <c r="L22" s="218">
        <v>1602</v>
      </c>
      <c r="M22" s="272">
        <v>2099</v>
      </c>
      <c r="N22" s="219">
        <v>-497</v>
      </c>
      <c r="O22" s="10">
        <v>0</v>
      </c>
      <c r="P22" s="5">
        <v>121</v>
      </c>
      <c r="Q22" s="23">
        <v>0</v>
      </c>
      <c r="R22" s="24">
        <v>0</v>
      </c>
      <c r="S22" s="220">
        <v>0</v>
      </c>
      <c r="T22" s="5">
        <v>0</v>
      </c>
      <c r="U22" s="23">
        <v>23</v>
      </c>
      <c r="V22" s="221" t="s">
        <v>135</v>
      </c>
      <c r="W22" s="275" t="s">
        <v>136</v>
      </c>
      <c r="X22" s="277" t="s">
        <v>136</v>
      </c>
      <c r="Y22" s="285" t="s">
        <v>136</v>
      </c>
      <c r="Z22" s="285" t="s">
        <v>136</v>
      </c>
      <c r="AA22" s="285" t="s">
        <v>136</v>
      </c>
      <c r="AB22" s="285" t="s">
        <v>136</v>
      </c>
    </row>
    <row r="23" spans="1:28" ht="18.75" customHeight="1" thickBot="1" x14ac:dyDescent="0.3">
      <c r="A23" s="6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03" t="s">
        <v>35</v>
      </c>
      <c r="W23" s="104">
        <f>COUNTIF(W3:W22, "*GW*") / COUNTA(W3:W22)</f>
        <v>0.6</v>
      </c>
      <c r="X23" s="104">
        <f t="shared" ref="W23:AB23" si="0">COUNTIF(X3:X22, "*GW*") / COUNTA(X3:X22)</f>
        <v>0.2</v>
      </c>
      <c r="Y23" s="104">
        <f t="shared" si="0"/>
        <v>0.3</v>
      </c>
      <c r="Z23" s="104">
        <f t="shared" si="0"/>
        <v>0.5</v>
      </c>
      <c r="AA23" s="104">
        <f t="shared" si="0"/>
        <v>0.4</v>
      </c>
      <c r="AB23" s="104">
        <f t="shared" si="0"/>
        <v>0.4</v>
      </c>
    </row>
    <row r="24" spans="1:28" ht="18.75" customHeight="1" x14ac:dyDescent="0.25">
      <c r="A24" s="65"/>
      <c r="B24" s="269"/>
      <c r="C24" s="269"/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8.75" customHeight="1" x14ac:dyDescent="0.25">
      <c r="A25" s="11"/>
      <c r="B25" s="269"/>
      <c r="C25" s="269"/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66"/>
      <c r="AA25" s="11"/>
      <c r="AB25" s="11"/>
    </row>
    <row r="26" spans="1:28" ht="18.75" customHeight="1" x14ac:dyDescent="0.25">
      <c r="A26" s="11"/>
      <c r="B26" s="269"/>
      <c r="C26" s="269"/>
      <c r="D26" s="269"/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67"/>
      <c r="AA26" s="11"/>
      <c r="AB26" s="11"/>
    </row>
    <row r="27" spans="1:28" ht="18.75" customHeight="1" x14ac:dyDescent="0.25">
      <c r="A27" s="11"/>
      <c r="B27" s="269"/>
      <c r="C27" s="269"/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67"/>
      <c r="AA27" s="11"/>
      <c r="AB27" s="11"/>
    </row>
    <row r="28" spans="1:28" ht="18.75" customHeight="1" x14ac:dyDescent="0.25">
      <c r="A28" s="11"/>
      <c r="B28" s="269"/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67"/>
      <c r="AA28" s="11"/>
      <c r="AB28" s="11"/>
    </row>
    <row r="29" spans="1:28" ht="18.75" customHeight="1" x14ac:dyDescent="0.25">
      <c r="A29" s="11"/>
      <c r="B29" s="269"/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67"/>
      <c r="AA29" s="11"/>
      <c r="AB29" s="11"/>
    </row>
    <row r="30" spans="1:28" ht="18.75" customHeight="1" x14ac:dyDescent="0.25">
      <c r="A30" s="11"/>
      <c r="B30" s="68"/>
      <c r="C30" s="68"/>
      <c r="D30" s="68"/>
      <c r="E30" s="69"/>
      <c r="F30" s="69"/>
      <c r="G30" s="69"/>
      <c r="H30" s="69"/>
      <c r="I30" s="69"/>
      <c r="J30" s="67"/>
      <c r="K30" s="67"/>
      <c r="L30" s="67"/>
      <c r="M30" s="67"/>
      <c r="N30" s="67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67"/>
      <c r="AA30" s="11"/>
      <c r="AB30" s="11"/>
    </row>
    <row r="31" spans="1:28" ht="18.75" customHeight="1" thickBo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11"/>
      <c r="AA31" s="11"/>
      <c r="AB31" s="11"/>
    </row>
    <row r="32" spans="1:28" ht="18.75" customHeight="1" thickBot="1" x14ac:dyDescent="0.3">
      <c r="A32" s="11"/>
      <c r="B32" s="244" t="s">
        <v>44</v>
      </c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45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11"/>
      <c r="AA32" s="11"/>
      <c r="AB32" s="11"/>
    </row>
    <row r="33" spans="1:26" ht="15.75" customHeight="1" thickBot="1" x14ac:dyDescent="0.3">
      <c r="A33" s="11"/>
      <c r="B33" s="70" t="s">
        <v>4</v>
      </c>
      <c r="C33" s="16" t="s">
        <v>46</v>
      </c>
      <c r="D33" s="168" t="s">
        <v>5</v>
      </c>
      <c r="E33" s="168" t="s">
        <v>6</v>
      </c>
      <c r="F33" s="169" t="s">
        <v>7</v>
      </c>
      <c r="G33" s="168" t="s">
        <v>8</v>
      </c>
      <c r="H33" s="168" t="s">
        <v>9</v>
      </c>
      <c r="I33" s="168" t="s">
        <v>10</v>
      </c>
      <c r="J33" s="168" t="s">
        <v>11</v>
      </c>
      <c r="K33" s="168" t="s">
        <v>12</v>
      </c>
      <c r="L33" s="168" t="s">
        <v>13</v>
      </c>
      <c r="M33" s="169" t="s">
        <v>14</v>
      </c>
      <c r="N33" s="169" t="s">
        <v>15</v>
      </c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11"/>
    </row>
    <row r="34" spans="1:26" ht="15.75" customHeight="1" thickBot="1" x14ac:dyDescent="0.3">
      <c r="A34" s="11"/>
      <c r="B34" s="118">
        <v>1</v>
      </c>
      <c r="C34" s="134">
        <f t="shared" ref="C34:C53" si="1">INDEX(C$2:C$22, MATCH(D34, D$2:D$22, 0))</f>
        <v>1</v>
      </c>
      <c r="D34" s="128" t="s">
        <v>53</v>
      </c>
      <c r="E34" s="109" t="s">
        <v>54</v>
      </c>
      <c r="F34" s="10">
        <v>93</v>
      </c>
      <c r="G34" s="5">
        <v>31</v>
      </c>
      <c r="H34" s="22">
        <v>0</v>
      </c>
      <c r="I34" s="23">
        <v>7</v>
      </c>
      <c r="J34" s="24">
        <v>38</v>
      </c>
      <c r="K34" s="25">
        <v>0</v>
      </c>
      <c r="L34" s="222">
        <v>2484</v>
      </c>
      <c r="M34" s="5">
        <v>2050</v>
      </c>
      <c r="N34" s="171">
        <v>434</v>
      </c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11"/>
    </row>
    <row r="35" spans="1:26" ht="15.75" customHeight="1" x14ac:dyDescent="0.25">
      <c r="A35" s="11"/>
      <c r="B35" s="119">
        <v>2</v>
      </c>
      <c r="C35" s="32">
        <f t="shared" si="1"/>
        <v>2</v>
      </c>
      <c r="D35" s="129" t="s">
        <v>62</v>
      </c>
      <c r="E35" s="110" t="s">
        <v>63</v>
      </c>
      <c r="F35" s="27">
        <v>79</v>
      </c>
      <c r="G35" s="8">
        <v>26</v>
      </c>
      <c r="H35" s="28">
        <v>1</v>
      </c>
      <c r="I35" s="29">
        <v>11</v>
      </c>
      <c r="J35" s="30">
        <v>38</v>
      </c>
      <c r="K35" s="31">
        <v>0</v>
      </c>
      <c r="L35" s="223">
        <v>2375</v>
      </c>
      <c r="M35" s="8">
        <v>2069</v>
      </c>
      <c r="N35" s="224">
        <v>306</v>
      </c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11"/>
    </row>
    <row r="36" spans="1:26" ht="15.75" customHeight="1" x14ac:dyDescent="0.25">
      <c r="A36" s="11"/>
      <c r="B36" s="120">
        <v>3</v>
      </c>
      <c r="C36" s="38">
        <f t="shared" si="1"/>
        <v>8</v>
      </c>
      <c r="D36" s="130" t="s">
        <v>86</v>
      </c>
      <c r="E36" s="111" t="s">
        <v>87</v>
      </c>
      <c r="F36" s="35">
        <v>64</v>
      </c>
      <c r="G36" s="7">
        <v>21</v>
      </c>
      <c r="H36" s="96">
        <v>1</v>
      </c>
      <c r="I36" s="36">
        <v>16</v>
      </c>
      <c r="J36" s="3">
        <v>38</v>
      </c>
      <c r="K36" s="37">
        <v>0</v>
      </c>
      <c r="L36" s="225">
        <v>2362</v>
      </c>
      <c r="M36" s="7">
        <v>2062</v>
      </c>
      <c r="N36" s="226">
        <v>300</v>
      </c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11"/>
    </row>
    <row r="37" spans="1:26" ht="15.75" customHeight="1" thickBot="1" x14ac:dyDescent="0.3">
      <c r="A37" s="11"/>
      <c r="B37" s="121">
        <v>4</v>
      </c>
      <c r="C37" s="45">
        <f t="shared" si="1"/>
        <v>3</v>
      </c>
      <c r="D37" s="131" t="s">
        <v>67</v>
      </c>
      <c r="E37" s="112" t="s">
        <v>68</v>
      </c>
      <c r="F37" s="41">
        <v>75</v>
      </c>
      <c r="G37" s="6">
        <v>25</v>
      </c>
      <c r="H37" s="42">
        <v>0</v>
      </c>
      <c r="I37" s="43">
        <v>13</v>
      </c>
      <c r="J37" s="4">
        <v>38</v>
      </c>
      <c r="K37" s="44">
        <v>0</v>
      </c>
      <c r="L37" s="45">
        <v>2325</v>
      </c>
      <c r="M37" s="271">
        <v>2120</v>
      </c>
      <c r="N37" s="43">
        <v>205</v>
      </c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11"/>
    </row>
    <row r="38" spans="1:26" ht="15.75" customHeight="1" x14ac:dyDescent="0.25">
      <c r="A38" s="11"/>
      <c r="B38" s="122">
        <v>5</v>
      </c>
      <c r="C38" s="32">
        <f t="shared" si="1"/>
        <v>5</v>
      </c>
      <c r="D38" s="132" t="s">
        <v>76</v>
      </c>
      <c r="E38" s="113" t="s">
        <v>77</v>
      </c>
      <c r="F38" s="48">
        <v>69</v>
      </c>
      <c r="G38" s="49">
        <v>23</v>
      </c>
      <c r="H38" s="50">
        <v>0</v>
      </c>
      <c r="I38" s="51">
        <v>15</v>
      </c>
      <c r="J38" s="9">
        <v>38</v>
      </c>
      <c r="K38" s="52">
        <v>0</v>
      </c>
      <c r="L38" s="53">
        <v>2284</v>
      </c>
      <c r="M38" s="49">
        <v>2080</v>
      </c>
      <c r="N38" s="51">
        <v>204</v>
      </c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11"/>
    </row>
    <row r="39" spans="1:26" ht="15.75" customHeight="1" thickBot="1" x14ac:dyDescent="0.3">
      <c r="A39" s="11"/>
      <c r="B39" s="123">
        <v>6</v>
      </c>
      <c r="C39" s="45">
        <f t="shared" si="1"/>
        <v>4</v>
      </c>
      <c r="D39" s="133" t="s">
        <v>72</v>
      </c>
      <c r="E39" s="114" t="s">
        <v>73</v>
      </c>
      <c r="F39" s="56">
        <v>72</v>
      </c>
      <c r="G39" s="57">
        <v>24</v>
      </c>
      <c r="H39" s="58">
        <v>0</v>
      </c>
      <c r="I39" s="59">
        <v>14</v>
      </c>
      <c r="J39" s="60">
        <v>38</v>
      </c>
      <c r="K39" s="61">
        <v>0</v>
      </c>
      <c r="L39" s="62">
        <v>2209</v>
      </c>
      <c r="M39" s="57">
        <v>1965</v>
      </c>
      <c r="N39" s="59">
        <v>244</v>
      </c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11"/>
    </row>
    <row r="40" spans="1:26" ht="15.75" customHeight="1" thickBot="1" x14ac:dyDescent="0.3">
      <c r="A40" s="11"/>
      <c r="B40" s="124">
        <v>7</v>
      </c>
      <c r="C40" s="26">
        <f t="shared" si="1"/>
        <v>7</v>
      </c>
      <c r="D40" s="128" t="s">
        <v>83</v>
      </c>
      <c r="E40" s="109" t="s">
        <v>84</v>
      </c>
      <c r="F40" s="10">
        <v>66</v>
      </c>
      <c r="G40" s="5">
        <v>22</v>
      </c>
      <c r="H40" s="22">
        <v>0</v>
      </c>
      <c r="I40" s="23">
        <v>16</v>
      </c>
      <c r="J40" s="24">
        <v>38</v>
      </c>
      <c r="K40" s="25">
        <v>0</v>
      </c>
      <c r="L40" s="26">
        <v>2171</v>
      </c>
      <c r="M40" s="170">
        <v>1896</v>
      </c>
      <c r="N40" s="23">
        <v>275</v>
      </c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11"/>
    </row>
    <row r="41" spans="1:26" ht="15.75" customHeight="1" x14ac:dyDescent="0.25">
      <c r="A41" s="11"/>
      <c r="B41" s="97">
        <v>8</v>
      </c>
      <c r="C41" s="32">
        <f t="shared" si="1"/>
        <v>11</v>
      </c>
      <c r="D41" s="132" t="s">
        <v>102</v>
      </c>
      <c r="E41" s="113" t="s">
        <v>103</v>
      </c>
      <c r="F41" s="48">
        <v>58</v>
      </c>
      <c r="G41" s="49">
        <v>19</v>
      </c>
      <c r="H41" s="50">
        <v>1</v>
      </c>
      <c r="I41" s="51">
        <v>18</v>
      </c>
      <c r="J41" s="9">
        <v>38</v>
      </c>
      <c r="K41" s="52">
        <v>0</v>
      </c>
      <c r="L41" s="53">
        <v>2102</v>
      </c>
      <c r="M41" s="49">
        <v>2049</v>
      </c>
      <c r="N41" s="51">
        <v>53</v>
      </c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11"/>
    </row>
    <row r="42" spans="1:26" ht="15.75" customHeight="1" x14ac:dyDescent="0.25">
      <c r="A42" s="11"/>
      <c r="B42" s="95">
        <v>9</v>
      </c>
      <c r="C42" s="38">
        <f t="shared" si="1"/>
        <v>9</v>
      </c>
      <c r="D42" s="130" t="s">
        <v>90</v>
      </c>
      <c r="E42" s="111" t="s">
        <v>91</v>
      </c>
      <c r="F42" s="35">
        <v>64</v>
      </c>
      <c r="G42" s="7">
        <v>21</v>
      </c>
      <c r="H42" s="96">
        <v>1</v>
      </c>
      <c r="I42" s="36">
        <v>16</v>
      </c>
      <c r="J42" s="3">
        <v>38</v>
      </c>
      <c r="K42" s="37">
        <v>0</v>
      </c>
      <c r="L42" s="38">
        <v>2093</v>
      </c>
      <c r="M42" s="7">
        <v>1939</v>
      </c>
      <c r="N42" s="36">
        <v>154</v>
      </c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11"/>
    </row>
    <row r="43" spans="1:26" ht="15.75" customHeight="1" x14ac:dyDescent="0.25">
      <c r="A43" s="11"/>
      <c r="B43" s="95">
        <v>10</v>
      </c>
      <c r="C43" s="38">
        <f t="shared" si="1"/>
        <v>12</v>
      </c>
      <c r="D43" s="130" t="s">
        <v>106</v>
      </c>
      <c r="E43" s="111" t="s">
        <v>107</v>
      </c>
      <c r="F43" s="35">
        <v>51</v>
      </c>
      <c r="G43" s="7">
        <v>17</v>
      </c>
      <c r="H43" s="96">
        <v>0</v>
      </c>
      <c r="I43" s="36">
        <v>21</v>
      </c>
      <c r="J43" s="3">
        <v>38</v>
      </c>
      <c r="K43" s="37">
        <v>0</v>
      </c>
      <c r="L43" s="38">
        <v>2016</v>
      </c>
      <c r="M43" s="7">
        <v>1996</v>
      </c>
      <c r="N43" s="36">
        <v>20</v>
      </c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11"/>
    </row>
    <row r="44" spans="1:26" ht="15.75" customHeight="1" x14ac:dyDescent="0.25">
      <c r="A44" s="11"/>
      <c r="B44" s="95">
        <v>11</v>
      </c>
      <c r="C44" s="38">
        <f t="shared" si="1"/>
        <v>6</v>
      </c>
      <c r="D44" s="130" t="s">
        <v>80</v>
      </c>
      <c r="E44" s="111" t="s">
        <v>81</v>
      </c>
      <c r="F44" s="35">
        <v>69</v>
      </c>
      <c r="G44" s="7">
        <v>23</v>
      </c>
      <c r="H44" s="96">
        <v>0</v>
      </c>
      <c r="I44" s="36">
        <v>15</v>
      </c>
      <c r="J44" s="3">
        <v>38</v>
      </c>
      <c r="K44" s="37">
        <v>0</v>
      </c>
      <c r="L44" s="38">
        <v>2008</v>
      </c>
      <c r="M44" s="7">
        <v>1962</v>
      </c>
      <c r="N44" s="36">
        <v>46</v>
      </c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11"/>
    </row>
    <row r="45" spans="1:26" ht="15.75" customHeight="1" x14ac:dyDescent="0.25">
      <c r="A45" s="11"/>
      <c r="B45" s="95">
        <v>12</v>
      </c>
      <c r="C45" s="38">
        <f t="shared" si="1"/>
        <v>10</v>
      </c>
      <c r="D45" s="130" t="s">
        <v>97</v>
      </c>
      <c r="E45" s="111" t="s">
        <v>98</v>
      </c>
      <c r="F45" s="35">
        <v>64</v>
      </c>
      <c r="G45" s="7">
        <v>21</v>
      </c>
      <c r="H45" s="96">
        <v>1</v>
      </c>
      <c r="I45" s="36">
        <v>16</v>
      </c>
      <c r="J45" s="3">
        <v>38</v>
      </c>
      <c r="K45" s="37">
        <v>0</v>
      </c>
      <c r="L45" s="38">
        <v>2006</v>
      </c>
      <c r="M45" s="227">
        <v>1932</v>
      </c>
      <c r="N45" s="36">
        <v>74</v>
      </c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11"/>
    </row>
    <row r="46" spans="1:26" ht="15.75" customHeight="1" x14ac:dyDescent="0.25">
      <c r="A46" s="11"/>
      <c r="B46" s="95">
        <v>13</v>
      </c>
      <c r="C46" s="38">
        <f t="shared" si="1"/>
        <v>16</v>
      </c>
      <c r="D46" s="130" t="s">
        <v>121</v>
      </c>
      <c r="E46" s="111" t="s">
        <v>122</v>
      </c>
      <c r="F46" s="35">
        <v>47</v>
      </c>
      <c r="G46" s="7">
        <v>15</v>
      </c>
      <c r="H46" s="96">
        <v>2</v>
      </c>
      <c r="I46" s="36">
        <v>21</v>
      </c>
      <c r="J46" s="3">
        <v>38</v>
      </c>
      <c r="K46" s="37">
        <v>0</v>
      </c>
      <c r="L46" s="38">
        <v>1942</v>
      </c>
      <c r="M46" s="270">
        <v>2106</v>
      </c>
      <c r="N46" s="36">
        <v>-164</v>
      </c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11"/>
    </row>
    <row r="47" spans="1:26" ht="15.75" customHeight="1" x14ac:dyDescent="0.25">
      <c r="A47" s="11"/>
      <c r="B47" s="95">
        <v>14</v>
      </c>
      <c r="C47" s="38">
        <f t="shared" si="1"/>
        <v>13</v>
      </c>
      <c r="D47" s="130" t="s">
        <v>109</v>
      </c>
      <c r="E47" s="111" t="s">
        <v>110</v>
      </c>
      <c r="F47" s="35">
        <v>51</v>
      </c>
      <c r="G47" s="7">
        <v>17</v>
      </c>
      <c r="H47" s="96">
        <v>0</v>
      </c>
      <c r="I47" s="36">
        <v>21</v>
      </c>
      <c r="J47" s="3">
        <v>38</v>
      </c>
      <c r="K47" s="37">
        <v>0</v>
      </c>
      <c r="L47" s="38">
        <v>1931</v>
      </c>
      <c r="M47" s="7">
        <v>2016</v>
      </c>
      <c r="N47" s="36">
        <v>-85</v>
      </c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11"/>
    </row>
    <row r="48" spans="1:26" ht="15.75" customHeight="1" thickBot="1" x14ac:dyDescent="0.3">
      <c r="A48" s="11"/>
      <c r="B48" s="98">
        <v>15</v>
      </c>
      <c r="C48" s="62">
        <f t="shared" si="1"/>
        <v>15</v>
      </c>
      <c r="D48" s="133" t="s">
        <v>116</v>
      </c>
      <c r="E48" s="114" t="s">
        <v>117</v>
      </c>
      <c r="F48" s="56">
        <v>48</v>
      </c>
      <c r="G48" s="57">
        <v>16</v>
      </c>
      <c r="H48" s="58">
        <v>0</v>
      </c>
      <c r="I48" s="59">
        <v>22</v>
      </c>
      <c r="J48" s="60">
        <v>38</v>
      </c>
      <c r="K48" s="61">
        <v>0</v>
      </c>
      <c r="L48" s="62">
        <v>1908</v>
      </c>
      <c r="M48" s="57">
        <v>1986</v>
      </c>
      <c r="N48" s="59">
        <v>-78</v>
      </c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11"/>
    </row>
    <row r="49" spans="1:26" ht="15.75" customHeight="1" thickBot="1" x14ac:dyDescent="0.3">
      <c r="A49" s="11"/>
      <c r="B49" s="135">
        <v>16</v>
      </c>
      <c r="C49" s="26">
        <f t="shared" si="1"/>
        <v>17</v>
      </c>
      <c r="D49" s="128" t="s">
        <v>124</v>
      </c>
      <c r="E49" s="109" t="s">
        <v>125</v>
      </c>
      <c r="F49" s="10">
        <v>33</v>
      </c>
      <c r="G49" s="5">
        <v>11</v>
      </c>
      <c r="H49" s="22">
        <v>0</v>
      </c>
      <c r="I49" s="23">
        <v>27</v>
      </c>
      <c r="J49" s="24">
        <v>38</v>
      </c>
      <c r="K49" s="25">
        <v>0</v>
      </c>
      <c r="L49" s="26">
        <v>1645</v>
      </c>
      <c r="M49" s="5">
        <v>2090</v>
      </c>
      <c r="N49" s="219">
        <v>-445</v>
      </c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11"/>
    </row>
    <row r="50" spans="1:26" ht="15.75" customHeight="1" x14ac:dyDescent="0.25">
      <c r="A50" s="11"/>
      <c r="B50" s="136">
        <v>17</v>
      </c>
      <c r="C50" s="32">
        <f t="shared" si="1"/>
        <v>18</v>
      </c>
      <c r="D50" s="129" t="s">
        <v>126</v>
      </c>
      <c r="E50" s="115" t="s">
        <v>127</v>
      </c>
      <c r="F50" s="32">
        <v>32</v>
      </c>
      <c r="G50" s="30">
        <v>10</v>
      </c>
      <c r="H50" s="28">
        <v>2</v>
      </c>
      <c r="I50" s="29">
        <v>26</v>
      </c>
      <c r="J50" s="30">
        <v>38</v>
      </c>
      <c r="K50" s="31">
        <v>0</v>
      </c>
      <c r="L50" s="32">
        <v>1635</v>
      </c>
      <c r="M50" s="8">
        <v>2003</v>
      </c>
      <c r="N50" s="228">
        <v>-368</v>
      </c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11"/>
    </row>
    <row r="51" spans="1:26" ht="15.75" customHeight="1" x14ac:dyDescent="0.25">
      <c r="A51" s="11"/>
      <c r="B51" s="125">
        <v>18</v>
      </c>
      <c r="C51" s="38">
        <f t="shared" si="1"/>
        <v>14</v>
      </c>
      <c r="D51" s="130" t="s">
        <v>112</v>
      </c>
      <c r="E51" s="116" t="s">
        <v>113</v>
      </c>
      <c r="F51" s="38">
        <v>49</v>
      </c>
      <c r="G51" s="3">
        <v>16</v>
      </c>
      <c r="H51" s="96">
        <v>1</v>
      </c>
      <c r="I51" s="36">
        <v>21</v>
      </c>
      <c r="J51" s="3">
        <v>38</v>
      </c>
      <c r="K51" s="37">
        <v>0</v>
      </c>
      <c r="L51" s="229">
        <v>1621</v>
      </c>
      <c r="M51" s="7">
        <v>1943</v>
      </c>
      <c r="N51" s="36">
        <v>-322</v>
      </c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11"/>
    </row>
    <row r="52" spans="1:26" ht="15.75" customHeight="1" x14ac:dyDescent="0.25">
      <c r="A52" s="11"/>
      <c r="B52" s="126">
        <v>19</v>
      </c>
      <c r="C52" s="38">
        <f t="shared" si="1"/>
        <v>20</v>
      </c>
      <c r="D52" s="130" t="s">
        <v>133</v>
      </c>
      <c r="E52" s="116" t="s">
        <v>134</v>
      </c>
      <c r="F52" s="38">
        <v>23</v>
      </c>
      <c r="G52" s="3">
        <v>7</v>
      </c>
      <c r="H52" s="96">
        <v>2</v>
      </c>
      <c r="I52" s="36">
        <v>29</v>
      </c>
      <c r="J52" s="3">
        <v>38</v>
      </c>
      <c r="K52" s="37">
        <v>0</v>
      </c>
      <c r="L52" s="229">
        <v>1602</v>
      </c>
      <c r="M52" s="270">
        <v>2099</v>
      </c>
      <c r="N52" s="214">
        <v>-497</v>
      </c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11"/>
    </row>
    <row r="53" spans="1:26" ht="15.75" customHeight="1" thickBot="1" x14ac:dyDescent="0.3">
      <c r="A53" s="11"/>
      <c r="B53" s="127">
        <v>20</v>
      </c>
      <c r="C53" s="45">
        <f t="shared" si="1"/>
        <v>19</v>
      </c>
      <c r="D53" s="131" t="s">
        <v>130</v>
      </c>
      <c r="E53" s="117" t="s">
        <v>131</v>
      </c>
      <c r="F53" s="45">
        <v>27</v>
      </c>
      <c r="G53" s="4">
        <v>9</v>
      </c>
      <c r="H53" s="42">
        <v>0</v>
      </c>
      <c r="I53" s="43">
        <v>29</v>
      </c>
      <c r="J53" s="4">
        <v>38</v>
      </c>
      <c r="K53" s="44">
        <v>0</v>
      </c>
      <c r="L53" s="230">
        <v>1557</v>
      </c>
      <c r="M53" s="191">
        <v>1913</v>
      </c>
      <c r="N53" s="43">
        <v>-356</v>
      </c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Y64" s="11"/>
      <c r="Z64" s="11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A20:B20"/>
    <mergeCell ref="A19:B19"/>
    <mergeCell ref="A10:B10"/>
    <mergeCell ref="A13:B13"/>
    <mergeCell ref="A1:N1"/>
    <mergeCell ref="A16:B16"/>
    <mergeCell ref="B32:N32"/>
    <mergeCell ref="A18:B18"/>
    <mergeCell ref="O1:AB1"/>
    <mergeCell ref="A12:B12"/>
    <mergeCell ref="A21:B21"/>
    <mergeCell ref="A15:B15"/>
    <mergeCell ref="A11:B11"/>
    <mergeCell ref="A14:B14"/>
    <mergeCell ref="A17:B17"/>
    <mergeCell ref="A22:B22"/>
  </mergeCells>
  <pageMargins left="0.7" right="0.7" top="0.75" bottom="0.75" header="0.3" footer="0.3"/>
  <pageSetup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GW38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Rehan Khan</cp:lastModifiedBy>
  <cp:lastPrinted>2025-08-02T21:07:59Z</cp:lastPrinted>
  <dcterms:created xsi:type="dcterms:W3CDTF">2024-01-07T03:09:30Z</dcterms:created>
  <dcterms:modified xsi:type="dcterms:W3CDTF">2025-08-02T21:08:17Z</dcterms:modified>
</cp:coreProperties>
</file>