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name="Template" sheetId="1" state="visible" r:id="rId1"/>
    <sheet name="GW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\$#,##0_);\(\$#,##0\)"/>
    <numFmt numFmtId="165" formatCode="&quot;$&quot;#,##0_);[Red]\(&quot;$&quot;#,##0\)"/>
  </numFmts>
  <fonts count="10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rgb="FFA9A9A9"/>
      <sz val="11"/>
    </font>
    <font>
      <name val="Calibri"/>
      <family val="2"/>
      <color theme="1"/>
      <sz val="11"/>
      <scheme val="minor"/>
    </font>
    <font>
      <b val="1"/>
    </font>
    <font>
      <color rgb="00A9A9A9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B3B5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00FDE49B"/>
      </patternFill>
    </fill>
    <fill>
      <patternFill patternType="solid">
        <fgColor rgb="00D9D9D9"/>
      </patternFill>
    </fill>
    <fill>
      <patternFill patternType="solid">
        <fgColor rgb="00FFE1CC"/>
      </patternFill>
    </fill>
    <fill>
      <patternFill patternType="solid">
        <fgColor rgb="00FFB3B5"/>
      </patternFill>
    </fill>
    <fill>
      <patternFill patternType="solid">
        <fgColor rgb="0098FB98"/>
      </patternFill>
    </fill>
  </fills>
  <borders count="75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/>
      <right style="thin"/>
      <top style="thin"/>
      <bottom style="thin"/>
    </border>
  </borders>
  <cellStyleXfs count="2">
    <xf numFmtId="0" fontId="7" fillId="0" borderId="1"/>
    <xf numFmtId="9" fontId="7" fillId="0" borderId="1"/>
  </cellStyleXfs>
  <cellXfs count="289">
    <xf numFmtId="0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/>
    </xf>
    <xf numFmtId="0" fontId="0" fillId="2" borderId="7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3" borderId="8" applyAlignment="1" pivotButton="0" quotePrefix="0" xfId="0">
      <alignment horizontal="center" vertical="center"/>
    </xf>
    <xf numFmtId="165" fontId="0" fillId="3" borderId="9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1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4" borderId="15" applyAlignment="1" pivotButton="0" quotePrefix="0" xfId="0">
      <alignment horizontal="center" vertical="center"/>
    </xf>
    <xf numFmtId="165" fontId="0" fillId="4" borderId="1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7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4" borderId="22" applyAlignment="1" pivotButton="0" quotePrefix="0" xfId="0">
      <alignment horizontal="center" vertical="center"/>
    </xf>
    <xf numFmtId="165" fontId="0" fillId="4" borderId="23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24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4" borderId="28" applyAlignment="1" pivotButton="0" quotePrefix="0" xfId="0">
      <alignment horizontal="center" vertical="center"/>
    </xf>
    <xf numFmtId="165" fontId="0" fillId="4" borderId="29" applyAlignment="1" pivotButton="0" quotePrefix="0" xfId="0">
      <alignment horizontal="center" vertical="center"/>
    </xf>
    <xf numFmtId="0" fontId="0" fillId="0" borderId="28" pivotButton="0" quotePrefix="0" xfId="0"/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5" borderId="35" applyAlignment="1" pivotButton="0" quotePrefix="0" xfId="0">
      <alignment horizontal="center" vertical="center"/>
    </xf>
    <xf numFmtId="165" fontId="0" fillId="5" borderId="36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7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  <xf numFmtId="0" fontId="0" fillId="0" borderId="41" applyAlignment="1" pivotButton="0" quotePrefix="0" xfId="0">
      <alignment horizontal="center" vertical="center"/>
    </xf>
    <xf numFmtId="0" fontId="0" fillId="5" borderId="42" applyAlignment="1" pivotButton="0" quotePrefix="0" xfId="0">
      <alignment horizontal="center" vertical="center"/>
    </xf>
    <xf numFmtId="165" fontId="0" fillId="5" borderId="43" applyAlignment="1" pivotButton="0" quotePrefix="0" xfId="0">
      <alignment horizontal="center" vertical="center"/>
    </xf>
    <xf numFmtId="0" fontId="0" fillId="0" borderId="42" pivotButton="0" quotePrefix="0" xfId="0"/>
    <xf numFmtId="0" fontId="0" fillId="0" borderId="44" applyAlignment="1" pivotButton="0" quotePrefix="0" xfId="0">
      <alignment horizontal="center" vertical="center"/>
    </xf>
    <xf numFmtId="0" fontId="0" fillId="0" borderId="42" applyAlignment="1" pivotButton="0" quotePrefix="0" xfId="0">
      <alignment horizontal="center" vertical="center"/>
    </xf>
    <xf numFmtId="0" fontId="0" fillId="0" borderId="45" applyAlignment="1" pivotButton="0" quotePrefix="0" xfId="0">
      <alignment horizontal="center" vertical="center"/>
    </xf>
    <xf numFmtId="0" fontId="0" fillId="0" borderId="43" applyAlignment="1" pivotButton="0" quotePrefix="0" xfId="0">
      <alignment horizontal="center" vertical="center"/>
    </xf>
    <xf numFmtId="0" fontId="0" fillId="0" borderId="46" applyAlignment="1" pivotButton="0" quotePrefix="0" xfId="0">
      <alignment horizontal="center" vertical="center"/>
    </xf>
    <xf numFmtId="0" fontId="0" fillId="0" borderId="47" applyAlignment="1" pivotButton="0" quotePrefix="0" xfId="0">
      <alignment horizontal="center" vertical="center"/>
    </xf>
    <xf numFmtId="0" fontId="0" fillId="0" borderId="48" applyAlignment="1" pivotButton="0" quotePrefix="0" xfId="0">
      <alignment horizontal="center" vertical="center"/>
    </xf>
    <xf numFmtId="0" fontId="0" fillId="6" borderId="8" applyAlignment="1" pivotButton="0" quotePrefix="0" xfId="0">
      <alignment horizontal="center" vertical="center"/>
    </xf>
    <xf numFmtId="165" fontId="0" fillId="6" borderId="9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26" pivotButton="0" quotePrefix="0" xfId="0"/>
    <xf numFmtId="0" fontId="0" fillId="0" borderId="33" pivotButton="0" quotePrefix="0" xfId="0"/>
    <xf numFmtId="0" fontId="3" fillId="0" borderId="1" pivotButton="0" quotePrefix="0" xfId="0"/>
    <xf numFmtId="0" fontId="2" fillId="0" borderId="1" pivotButton="0" quotePrefix="0" xfId="0"/>
    <xf numFmtId="0" fontId="3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4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1" fillId="2" borderId="14" applyAlignment="1" pivotButton="0" quotePrefix="0" xfId="0">
      <alignment horizontal="center"/>
    </xf>
    <xf numFmtId="0" fontId="0" fillId="3" borderId="14" applyAlignment="1" pivotButton="0" quotePrefix="0" xfId="0">
      <alignment horizontal="center"/>
    </xf>
    <xf numFmtId="0" fontId="0" fillId="4" borderId="21" applyAlignment="1" pivotButton="0" quotePrefix="0" xfId="0">
      <alignment horizontal="center"/>
    </xf>
    <xf numFmtId="0" fontId="0" fillId="4" borderId="27" applyAlignment="1" pivotButton="0" quotePrefix="0" xfId="0">
      <alignment horizontal="center"/>
    </xf>
    <xf numFmtId="0" fontId="0" fillId="4" borderId="34" applyAlignment="1" pivotButton="0" quotePrefix="0" xfId="0">
      <alignment horizontal="center"/>
    </xf>
    <xf numFmtId="0" fontId="0" fillId="0" borderId="41" applyAlignment="1" pivotButton="0" quotePrefix="0" xfId="0">
      <alignment horizontal="center"/>
    </xf>
    <xf numFmtId="0" fontId="0" fillId="0" borderId="27" applyAlignment="1" pivotButton="0" quotePrefix="0" xfId="0">
      <alignment horizontal="center"/>
    </xf>
    <xf numFmtId="0" fontId="0" fillId="7" borderId="41" applyAlignment="1" pivotButton="0" quotePrefix="0" xfId="0">
      <alignment horizontal="center"/>
    </xf>
    <xf numFmtId="0" fontId="0" fillId="7" borderId="27" applyAlignment="1" pivotButton="0" quotePrefix="0" xfId="0">
      <alignment horizontal="center"/>
    </xf>
    <xf numFmtId="0" fontId="0" fillId="7" borderId="34" applyAlignment="1" pivotButton="0" quotePrefix="0" xfId="0">
      <alignment horizontal="center"/>
    </xf>
    <xf numFmtId="0" fontId="0" fillId="7" borderId="14" applyAlignment="1" pivotButton="0" quotePrefix="0" xfId="0">
      <alignment horizontal="center"/>
    </xf>
    <xf numFmtId="0" fontId="0" fillId="7" borderId="21" applyAlignment="1" pivotButton="0" quotePrefix="0" xfId="0">
      <alignment horizontal="center"/>
    </xf>
    <xf numFmtId="0" fontId="5" fillId="0" borderId="2" applyAlignment="1" pivotButton="0" quotePrefix="0" xfId="0">
      <alignment horizontal="center" vertical="top"/>
    </xf>
    <xf numFmtId="0" fontId="5" fillId="0" borderId="26" applyAlignment="1" pivotButton="0" quotePrefix="0" xfId="0">
      <alignment horizontal="center" vertical="top"/>
    </xf>
    <xf numFmtId="0" fontId="5" fillId="0" borderId="15" applyAlignment="1" pivotButton="0" quotePrefix="0" xfId="0">
      <alignment horizontal="center" vertical="top"/>
    </xf>
    <xf numFmtId="0" fontId="5" fillId="0" borderId="16" applyAlignment="1" pivotButton="0" quotePrefix="0" xfId="0">
      <alignment horizontal="center" vertical="top"/>
    </xf>
    <xf numFmtId="0" fontId="0" fillId="0" borderId="13" pivotButton="0" quotePrefix="0" xfId="0"/>
    <xf numFmtId="0" fontId="0" fillId="0" borderId="40" pivotButton="0" quotePrefix="0" xfId="0"/>
    <xf numFmtId="0" fontId="0" fillId="0" borderId="47" pivotButton="0" quotePrefix="0" xfId="0"/>
    <xf numFmtId="0" fontId="5" fillId="0" borderId="25" applyAlignment="1" pivotButton="0" quotePrefix="0" xfId="0">
      <alignment horizontal="center" vertical="top"/>
    </xf>
    <xf numFmtId="0" fontId="5" fillId="2" borderId="21" applyAlignment="1" pivotButton="0" quotePrefix="0" xfId="0">
      <alignment horizontal="center" vertical="top"/>
    </xf>
    <xf numFmtId="0" fontId="0" fillId="5" borderId="41" applyAlignment="1" pivotButton="0" quotePrefix="0" xfId="0">
      <alignment horizontal="center"/>
    </xf>
    <xf numFmtId="0" fontId="0" fillId="5" borderId="48" applyAlignment="1" pivotButton="0" quotePrefix="0" xfId="0">
      <alignment horizontal="center"/>
    </xf>
    <xf numFmtId="0" fontId="0" fillId="6" borderId="14" applyAlignment="1" pivotButton="0" quotePrefix="0" xfId="0">
      <alignment horizontal="center"/>
    </xf>
    <xf numFmtId="0" fontId="0" fillId="0" borderId="48" applyAlignment="1" pivotButton="0" quotePrefix="0" xfId="0">
      <alignment horizontal="center"/>
    </xf>
    <xf numFmtId="0" fontId="5" fillId="0" borderId="21" applyAlignment="1" pivotButton="0" quotePrefix="0" xfId="0">
      <alignment horizontal="center" vertical="top"/>
    </xf>
    <xf numFmtId="0" fontId="5" fillId="0" borderId="24" applyAlignment="1" pivotButton="0" quotePrefix="0" xfId="0">
      <alignment horizontal="center" vertical="top"/>
    </xf>
    <xf numFmtId="0" fontId="5" fillId="2" borderId="18" applyAlignment="1" pivotButton="0" quotePrefix="0" xfId="0">
      <alignment horizontal="center" vertical="top"/>
    </xf>
    <xf numFmtId="0" fontId="0" fillId="0" borderId="55" applyAlignment="1" pivotButton="0" quotePrefix="0" xfId="0">
      <alignment horizontal="center" vertical="center"/>
    </xf>
    <xf numFmtId="0" fontId="0" fillId="0" borderId="56" applyAlignment="1" pivotButton="0" quotePrefix="0" xfId="0">
      <alignment horizontal="center" vertical="center"/>
    </xf>
    <xf numFmtId="0" fontId="0" fillId="0" borderId="57" applyAlignment="1" pivotButton="0" quotePrefix="0" xfId="0">
      <alignment horizontal="center" vertical="center"/>
    </xf>
    <xf numFmtId="0" fontId="0" fillId="0" borderId="61" applyAlignment="1" pivotButton="0" quotePrefix="0" xfId="0">
      <alignment horizontal="center"/>
    </xf>
    <xf numFmtId="0" fontId="0" fillId="0" borderId="58" applyAlignment="1" pivotButton="0" quotePrefix="0" xfId="0">
      <alignment horizontal="center" vertical="center"/>
    </xf>
    <xf numFmtId="0" fontId="0" fillId="0" borderId="63" applyAlignment="1" pivotButton="0" quotePrefix="0" xfId="0">
      <alignment horizontal="center"/>
    </xf>
    <xf numFmtId="0" fontId="0" fillId="0" borderId="64" applyAlignment="1" pivotButton="0" quotePrefix="0" xfId="0">
      <alignment horizontal="center"/>
    </xf>
    <xf numFmtId="0" fontId="5" fillId="2" borderId="13" applyAlignment="1" pivotButton="0" quotePrefix="0" xfId="0">
      <alignment vertical="top"/>
    </xf>
    <xf numFmtId="0" fontId="6" fillId="0" borderId="59" applyAlignment="1" pivotButton="0" quotePrefix="0" xfId="0">
      <alignment horizontal="center" vertical="center"/>
    </xf>
    <xf numFmtId="0" fontId="6" fillId="0" borderId="60" applyAlignment="1" pivotButton="0" quotePrefix="0" xfId="0">
      <alignment horizontal="center" vertical="center"/>
    </xf>
    <xf numFmtId="0" fontId="6" fillId="0" borderId="61" applyAlignment="1" pivotButton="0" quotePrefix="0" xfId="0">
      <alignment horizontal="center" vertical="center"/>
    </xf>
    <xf numFmtId="0" fontId="6" fillId="0" borderId="62" applyAlignment="1" pivotButton="0" quotePrefix="0" xfId="0">
      <alignment horizontal="center" vertical="center"/>
    </xf>
    <xf numFmtId="0" fontId="6" fillId="0" borderId="63" applyAlignment="1" pivotButton="0" quotePrefix="0" xfId="0">
      <alignment horizontal="center" vertical="center"/>
    </xf>
    <xf numFmtId="0" fontId="6" fillId="0" borderId="64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top"/>
    </xf>
    <xf numFmtId="0" fontId="5" fillId="0" borderId="65" applyAlignment="1" pivotButton="0" quotePrefix="0" xfId="0">
      <alignment horizontal="center" vertical="top"/>
    </xf>
    <xf numFmtId="0" fontId="5" fillId="0" borderId="4" applyAlignment="1" pivotButton="0" quotePrefix="0" xfId="0">
      <alignment horizontal="center" vertical="top"/>
    </xf>
    <xf numFmtId="0" fontId="0" fillId="8" borderId="14" applyAlignment="1" pivotButton="0" quotePrefix="0" xfId="0">
      <alignment horizontal="center" vertical="center"/>
    </xf>
    <xf numFmtId="9" fontId="0" fillId="8" borderId="66" applyAlignment="1" pivotButton="0" quotePrefix="0" xfId="1">
      <alignment horizontal="center" vertical="center"/>
    </xf>
    <xf numFmtId="9" fontId="0" fillId="8" borderId="67" applyAlignment="1" pivotButton="0" quotePrefix="0" xfId="1">
      <alignment horizontal="center" vertical="center"/>
    </xf>
    <xf numFmtId="9" fontId="0" fillId="8" borderId="68" applyAlignment="1" pivotButton="0" quotePrefix="0" xfId="1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2" pivotButton="0" quotePrefix="0" xfId="0"/>
    <xf numFmtId="0" fontId="0" fillId="0" borderId="27" applyAlignment="1" pivotButton="0" quotePrefix="0" xfId="0">
      <alignment horizontal="center" vertical="center"/>
    </xf>
    <xf numFmtId="0" fontId="0" fillId="0" borderId="49" pivotButton="0" quotePrefix="0" xfId="0"/>
    <xf numFmtId="0" fontId="4" fillId="0" borderId="22" applyAlignment="1" pivotButton="0" quotePrefix="0" xfId="0">
      <alignment horizontal="center" vertical="center"/>
    </xf>
    <xf numFmtId="0" fontId="0" fillId="0" borderId="24" pivotButton="0" quotePrefix="0" xfId="0"/>
    <xf numFmtId="0" fontId="0" fillId="0" borderId="25" pivotButton="0" quotePrefix="0" xfId="0"/>
    <xf numFmtId="0" fontId="0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32" pivotButton="0" quotePrefix="0" xfId="0"/>
    <xf numFmtId="0" fontId="3" fillId="0" borderId="28" applyAlignment="1" pivotButton="0" quotePrefix="0" xfId="0">
      <alignment horizontal="center" vertical="center"/>
    </xf>
    <xf numFmtId="0" fontId="0" fillId="0" borderId="51" pivotButton="0" quotePrefix="0" xfId="0"/>
    <xf numFmtId="0" fontId="0" fillId="0" borderId="14" applyAlignment="1" pivotButton="0" quotePrefix="0" xfId="0">
      <alignment horizontal="center"/>
    </xf>
    <xf numFmtId="0" fontId="0" fillId="0" borderId="52" pivotButton="0" quotePrefix="0" xfId="0"/>
    <xf numFmtId="0" fontId="4" fillId="0" borderId="28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48" applyAlignment="1" pivotButton="0" quotePrefix="0" xfId="0">
      <alignment horizontal="center" vertical="center"/>
    </xf>
    <xf numFmtId="0" fontId="0" fillId="0" borderId="53" pivotButton="0" quotePrefix="0" xfId="0"/>
    <xf numFmtId="0" fontId="4" fillId="0" borderId="35" applyAlignment="1" pivotButton="0" quotePrefix="0" xfId="0">
      <alignment horizontal="center" vertical="center"/>
    </xf>
    <xf numFmtId="0" fontId="0" fillId="0" borderId="37" pivotButton="0" quotePrefix="0" xfId="0"/>
    <xf numFmtId="0" fontId="0" fillId="0" borderId="39" pivotButton="0" quotePrefix="0" xfId="0"/>
    <xf numFmtId="0" fontId="0" fillId="0" borderId="15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9" pivotButton="0" quotePrefix="0" xfId="0"/>
    <xf numFmtId="0" fontId="0" fillId="7" borderId="34" applyAlignment="1" pivotButton="0" quotePrefix="0" xfId="0">
      <alignment horizontal="center"/>
    </xf>
    <xf numFmtId="0" fontId="0" fillId="7" borderId="41" applyAlignment="1" pivotButton="0" quotePrefix="0" xfId="0">
      <alignment horizontal="center"/>
    </xf>
    <xf numFmtId="0" fontId="0" fillId="0" borderId="54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7" borderId="14" applyAlignment="1" pivotButton="0" quotePrefix="0" xfId="0">
      <alignment horizontal="center"/>
    </xf>
    <xf numFmtId="0" fontId="3" fillId="0" borderId="2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/>
    </xf>
    <xf numFmtId="0" fontId="0" fillId="0" borderId="7" pivotButton="0" quotePrefix="0" xfId="0"/>
    <xf numFmtId="0" fontId="0" fillId="0" borderId="69" pivotButton="0" quotePrefix="0" xfId="0"/>
    <xf numFmtId="0" fontId="2" fillId="0" borderId="14" applyAlignment="1" pivotButton="0" quotePrefix="0" xfId="0">
      <alignment horizontal="center"/>
    </xf>
    <xf numFmtId="0" fontId="3" fillId="0" borderId="15" applyAlignment="1" pivotButton="0" quotePrefix="0" xfId="0">
      <alignment horizontal="center" vertical="center"/>
    </xf>
    <xf numFmtId="0" fontId="0" fillId="0" borderId="50" pivotButton="0" quotePrefix="0" xfId="0"/>
    <xf numFmtId="0" fontId="0" fillId="7" borderId="27" applyAlignment="1" pivotButton="0" quotePrefix="0" xfId="0">
      <alignment horizontal="center"/>
    </xf>
    <xf numFmtId="0" fontId="4" fillId="0" borderId="15" applyAlignment="1" pivotButton="0" quotePrefix="0" xfId="0">
      <alignment horizontal="center" vertical="center"/>
    </xf>
    <xf numFmtId="0" fontId="0" fillId="0" borderId="59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52" applyAlignment="1" pivotButton="0" quotePrefix="0" xfId="0">
      <alignment horizontal="center"/>
    </xf>
    <xf numFmtId="0" fontId="0" fillId="7" borderId="21" applyAlignment="1" pivotButton="0" quotePrefix="0" xfId="0">
      <alignment horizontal="center"/>
    </xf>
    <xf numFmtId="0" fontId="0" fillId="0" borderId="41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9" applyAlignment="1" pivotButton="0" quotePrefix="0" xfId="0">
      <alignment horizontal="left" vertical="center"/>
    </xf>
    <xf numFmtId="0" fontId="0" fillId="0" borderId="16" applyAlignment="1" pivotButton="0" quotePrefix="0" xfId="0">
      <alignment horizontal="left" vertical="center"/>
    </xf>
    <xf numFmtId="0" fontId="0" fillId="0" borderId="23" applyAlignment="1" pivotButton="0" quotePrefix="0" xfId="0">
      <alignment horizontal="left" vertical="center"/>
    </xf>
    <xf numFmtId="0" fontId="0" fillId="0" borderId="29" applyAlignment="1" pivotButton="0" quotePrefix="0" xfId="0">
      <alignment horizontal="left" vertical="center"/>
    </xf>
    <xf numFmtId="0" fontId="0" fillId="0" borderId="36" applyAlignment="1" pivotButton="0" quotePrefix="0" xfId="0">
      <alignment horizontal="left" vertical="center"/>
    </xf>
    <xf numFmtId="0" fontId="0" fillId="0" borderId="43" applyAlignment="1" pivotButton="0" quotePrefix="0" xfId="0">
      <alignment horizontal="left" vertical="center"/>
    </xf>
    <xf numFmtId="0" fontId="0" fillId="0" borderId="20" applyAlignment="1" pivotButton="0" quotePrefix="0" xfId="0">
      <alignment horizontal="left" vertical="center"/>
    </xf>
    <xf numFmtId="0" fontId="0" fillId="0" borderId="26" applyAlignment="1" pivotButton="0" quotePrefix="0" xfId="0">
      <alignment horizontal="left" vertical="center"/>
    </xf>
    <xf numFmtId="0" fontId="0" fillId="0" borderId="33" applyAlignment="1" pivotButton="0" quotePrefix="0" xfId="0">
      <alignment horizontal="left" vertical="center"/>
    </xf>
    <xf numFmtId="0" fontId="0" fillId="3" borderId="59" applyAlignment="1" pivotButton="0" quotePrefix="0" xfId="0">
      <alignment horizontal="center"/>
    </xf>
    <xf numFmtId="0" fontId="0" fillId="4" borderId="60" applyAlignment="1" pivotButton="0" quotePrefix="0" xfId="0">
      <alignment horizontal="center"/>
    </xf>
    <xf numFmtId="0" fontId="0" fillId="4" borderId="61" applyAlignment="1" pivotButton="0" quotePrefix="0" xfId="0">
      <alignment horizontal="center"/>
    </xf>
    <xf numFmtId="0" fontId="0" fillId="4" borderId="62" applyAlignment="1" pivotButton="0" quotePrefix="0" xfId="0">
      <alignment horizontal="center"/>
    </xf>
    <xf numFmtId="0" fontId="0" fillId="5" borderId="60" applyAlignment="1" pivotButton="0" quotePrefix="0" xfId="0">
      <alignment horizontal="center"/>
    </xf>
    <xf numFmtId="0" fontId="0" fillId="5" borderId="62" applyAlignment="1" pivotButton="0" quotePrefix="0" xfId="0">
      <alignment horizontal="center"/>
    </xf>
    <xf numFmtId="0" fontId="0" fillId="6" borderId="70" applyAlignment="1" pivotButton="0" quotePrefix="0" xfId="0">
      <alignment horizontal="center"/>
    </xf>
    <xf numFmtId="0" fontId="0" fillId="7" borderId="63" applyAlignment="1" pivotButton="0" quotePrefix="0" xfId="0">
      <alignment horizontal="center"/>
    </xf>
    <xf numFmtId="0" fontId="0" fillId="7" borderId="61" applyAlignment="1" pivotButton="0" quotePrefix="0" xfId="0">
      <alignment horizontal="center"/>
    </xf>
    <xf numFmtId="0" fontId="0" fillId="7" borderId="62" applyAlignment="1" pivotButton="0" quotePrefix="0" xfId="0">
      <alignment horizontal="center"/>
    </xf>
    <xf numFmtId="0" fontId="0" fillId="0" borderId="12" applyAlignment="1" pivotButton="0" quotePrefix="0" xfId="0">
      <alignment horizontal="left" vertical="center"/>
    </xf>
    <xf numFmtId="0" fontId="0" fillId="0" borderId="19" applyAlignment="1" pivotButton="0" quotePrefix="0" xfId="0">
      <alignment horizontal="left" vertical="center"/>
    </xf>
    <xf numFmtId="0" fontId="0" fillId="0" borderId="25" applyAlignment="1" pivotButton="0" quotePrefix="0" xfId="0">
      <alignment horizontal="left" vertical="center"/>
    </xf>
    <xf numFmtId="0" fontId="0" fillId="0" borderId="32" applyAlignment="1" pivotButton="0" quotePrefix="0" xfId="0">
      <alignment horizontal="left" vertical="center"/>
    </xf>
    <xf numFmtId="0" fontId="0" fillId="0" borderId="39" applyAlignment="1" pivotButton="0" quotePrefix="0" xfId="0">
      <alignment horizontal="left" vertical="center"/>
    </xf>
    <xf numFmtId="0" fontId="0" fillId="0" borderId="46" applyAlignment="1" pivotButton="0" quotePrefix="0" xfId="0">
      <alignment horizontal="left" vertical="center"/>
    </xf>
    <xf numFmtId="0" fontId="0" fillId="0" borderId="5" applyAlignment="1" pivotButton="0" quotePrefix="0" xfId="0">
      <alignment horizontal="center" vertical="center"/>
    </xf>
    <xf numFmtId="0" fontId="0" fillId="7" borderId="59" applyAlignment="1" pivotButton="0" quotePrefix="0" xfId="0">
      <alignment horizontal="center"/>
    </xf>
    <xf numFmtId="0" fontId="0" fillId="7" borderId="60" applyAlignment="1" pivotButton="0" quotePrefix="0" xfId="0">
      <alignment horizontal="center"/>
    </xf>
    <xf numFmtId="165" fontId="0" fillId="3" borderId="9" applyAlignment="1" pivotButton="0" quotePrefix="0" xfId="0">
      <alignment horizontal="center" vertical="center"/>
    </xf>
    <xf numFmtId="165" fontId="0" fillId="4" borderId="16" applyAlignment="1" pivotButton="0" quotePrefix="0" xfId="0">
      <alignment horizontal="center" vertical="center"/>
    </xf>
    <xf numFmtId="165" fontId="0" fillId="4" borderId="23" applyAlignment="1" pivotButton="0" quotePrefix="0" xfId="0">
      <alignment horizontal="center" vertical="center"/>
    </xf>
    <xf numFmtId="165" fontId="0" fillId="4" borderId="29" applyAlignment="1" pivotButton="0" quotePrefix="0" xfId="0">
      <alignment horizontal="center" vertical="center"/>
    </xf>
    <xf numFmtId="165" fontId="0" fillId="5" borderId="36" applyAlignment="1" pivotButton="0" quotePrefix="0" xfId="0">
      <alignment horizontal="center" vertical="center"/>
    </xf>
    <xf numFmtId="165" fontId="0" fillId="5" borderId="43" applyAlignment="1" pivotButton="0" quotePrefix="0" xfId="0">
      <alignment horizontal="center" vertical="center"/>
    </xf>
    <xf numFmtId="165" fontId="0" fillId="6" borderId="9" applyAlignment="1" pivotButton="0" quotePrefix="0" xfId="0">
      <alignment horizontal="center" vertical="center"/>
    </xf>
    <xf numFmtId="0" fontId="0" fillId="0" borderId="73" pivotButton="0" quotePrefix="0" xfId="0"/>
    <xf numFmtId="0" fontId="8" fillId="0" borderId="74" applyAlignment="1" pivotButton="0" quotePrefix="0" xfId="0">
      <alignment horizontal="center" vertical="top"/>
    </xf>
    <xf numFmtId="0" fontId="8" fillId="2" borderId="74" applyAlignment="1" pivotButton="0" quotePrefix="0" xfId="0">
      <alignment horizontal="center" vertical="top"/>
    </xf>
    <xf numFmtId="0" fontId="0" fillId="9" borderId="14" applyAlignment="1" pivotButton="0" quotePrefix="0" xfId="0">
      <alignment horizontal="center" vertical="center"/>
    </xf>
    <xf numFmtId="0" fontId="0" fillId="9" borderId="13" applyAlignment="1" pivotButton="0" quotePrefix="0" xfId="0">
      <alignment horizontal="center" vertical="center"/>
    </xf>
    <xf numFmtId="0" fontId="0" fillId="9" borderId="8" applyAlignment="1" pivotButton="0" quotePrefix="0" xfId="0">
      <alignment horizontal="center" vertical="center"/>
    </xf>
    <xf numFmtId="0" fontId="0" fillId="12" borderId="12" applyAlignment="1" pivotButton="0" quotePrefix="0" xfId="0">
      <alignment horizontal="center" vertical="center"/>
    </xf>
    <xf numFmtId="0" fontId="9" fillId="0" borderId="59" applyAlignment="1" pivotButton="0" quotePrefix="0" xfId="0">
      <alignment horizontal="center" vertical="center"/>
    </xf>
    <xf numFmtId="0" fontId="0" fillId="13" borderId="8" applyAlignment="1" pivotButton="0" quotePrefix="0" xfId="0">
      <alignment horizontal="center" vertical="center"/>
    </xf>
    <xf numFmtId="0" fontId="0" fillId="13" borderId="11" applyAlignment="1" pivotButton="0" quotePrefix="0" xfId="0">
      <alignment horizontal="center" vertical="center"/>
    </xf>
    <xf numFmtId="0" fontId="0" fillId="13" borderId="9" applyAlignment="1" pivotButton="0" quotePrefix="0" xfId="0">
      <alignment horizontal="center" vertical="center"/>
    </xf>
    <xf numFmtId="0" fontId="0" fillId="10" borderId="21" applyAlignment="1" pivotButton="0" quotePrefix="0" xfId="0">
      <alignment horizontal="center" vertical="center"/>
    </xf>
    <xf numFmtId="0" fontId="0" fillId="12" borderId="16" applyAlignment="1" pivotButton="0" quotePrefix="0" xfId="0">
      <alignment horizontal="center" vertical="center"/>
    </xf>
    <xf numFmtId="0" fontId="0" fillId="9" borderId="15" applyAlignment="1" pivotButton="0" quotePrefix="0" xfId="0">
      <alignment horizontal="center" vertical="center"/>
    </xf>
    <xf numFmtId="0" fontId="0" fillId="12" borderId="19" applyAlignment="1" pivotButton="0" quotePrefix="0" xfId="0">
      <alignment horizontal="center" vertical="center"/>
    </xf>
    <xf numFmtId="0" fontId="0" fillId="9" borderId="20" applyAlignment="1" pivotButton="0" quotePrefix="0" xfId="0">
      <alignment horizontal="center" vertical="center"/>
    </xf>
    <xf numFmtId="0" fontId="9" fillId="0" borderId="60" applyAlignment="1" pivotButton="0" quotePrefix="0" xfId="0">
      <alignment horizontal="center" vertical="center"/>
    </xf>
    <xf numFmtId="0" fontId="0" fillId="13" borderId="15" applyAlignment="1" pivotButton="0" quotePrefix="0" xfId="0">
      <alignment horizontal="center" vertical="center"/>
    </xf>
    <xf numFmtId="0" fontId="0" fillId="13" borderId="18" applyAlignment="1" pivotButton="0" quotePrefix="0" xfId="0">
      <alignment horizontal="center" vertical="center"/>
    </xf>
    <xf numFmtId="0" fontId="0" fillId="13" borderId="16" applyAlignment="1" pivotButton="0" quotePrefix="0" xfId="0">
      <alignment horizontal="center" vertical="center"/>
    </xf>
    <xf numFmtId="0" fontId="0" fillId="11" borderId="27" applyAlignment="1" pivotButton="0" quotePrefix="0" xfId="0">
      <alignment horizontal="center" vertical="center"/>
    </xf>
    <xf numFmtId="0" fontId="0" fillId="12" borderId="23" applyAlignment="1" pivotButton="0" quotePrefix="0" xfId="0">
      <alignment horizontal="center" vertical="center"/>
    </xf>
    <xf numFmtId="0" fontId="0" fillId="9" borderId="22" applyAlignment="1" pivotButton="0" quotePrefix="0" xfId="0">
      <alignment horizontal="center" vertical="center"/>
    </xf>
    <xf numFmtId="0" fontId="0" fillId="12" borderId="25" applyAlignment="1" pivotButton="0" quotePrefix="0" xfId="0">
      <alignment horizontal="center" vertical="center"/>
    </xf>
    <xf numFmtId="0" fontId="0" fillId="9" borderId="26" applyAlignment="1" pivotButton="0" quotePrefix="0" xfId="0">
      <alignment horizontal="center" vertical="center"/>
    </xf>
    <xf numFmtId="0" fontId="9" fillId="0" borderId="61" applyAlignment="1" pivotButton="0" quotePrefix="0" xfId="0">
      <alignment horizontal="center" vertical="center"/>
    </xf>
    <xf numFmtId="0" fontId="0" fillId="13" borderId="22" applyAlignment="1" pivotButton="0" quotePrefix="0" xfId="0">
      <alignment horizontal="center" vertical="center"/>
    </xf>
    <xf numFmtId="0" fontId="0" fillId="13" borderId="58" applyAlignment="1" pivotButton="0" quotePrefix="0" xfId="0">
      <alignment horizontal="center" vertical="center"/>
    </xf>
    <xf numFmtId="0" fontId="0" fillId="13" borderId="23" applyAlignment="1" pivotButton="0" quotePrefix="0" xfId="0">
      <alignment horizontal="center" vertical="center"/>
    </xf>
    <xf numFmtId="0" fontId="0" fillId="10" borderId="33" applyAlignment="1" pivotButton="0" quotePrefix="0" xfId="0">
      <alignment horizontal="center" vertical="center"/>
    </xf>
    <xf numFmtId="0" fontId="0" fillId="9" borderId="28" applyAlignment="1" pivotButton="0" quotePrefix="0" xfId="0">
      <alignment horizontal="center" vertical="center"/>
    </xf>
    <xf numFmtId="0" fontId="0" fillId="12" borderId="32" applyAlignment="1" pivotButton="0" quotePrefix="0" xfId="0">
      <alignment horizontal="center" vertical="center"/>
    </xf>
    <xf numFmtId="0" fontId="0" fillId="9" borderId="33" applyAlignment="1" pivotButton="0" quotePrefix="0" xfId="0">
      <alignment horizontal="center" vertical="center"/>
    </xf>
    <xf numFmtId="0" fontId="9" fillId="0" borderId="62" applyAlignment="1" pivotButton="0" quotePrefix="0" xfId="0">
      <alignment horizontal="center" vertical="center"/>
    </xf>
    <xf numFmtId="0" fontId="0" fillId="13" borderId="28" applyAlignment="1" pivotButton="0" quotePrefix="0" xfId="0">
      <alignment horizontal="center" vertical="center"/>
    </xf>
    <xf numFmtId="0" fontId="0" fillId="13" borderId="31" applyAlignment="1" pivotButton="0" quotePrefix="0" xfId="0">
      <alignment horizontal="center" vertical="center"/>
    </xf>
    <xf numFmtId="0" fontId="0" fillId="13" borderId="29" applyAlignment="1" pivotButton="0" quotePrefix="0" xfId="0">
      <alignment horizontal="center" vertical="center"/>
    </xf>
    <xf numFmtId="0" fontId="0" fillId="11" borderId="39" applyAlignment="1" pivotButton="0" quotePrefix="0" xfId="0">
      <alignment horizontal="center" vertical="center"/>
    </xf>
    <xf numFmtId="0" fontId="0" fillId="9" borderId="35" applyAlignment="1" pivotButton="0" quotePrefix="0" xfId="0">
      <alignment horizontal="center" vertical="center"/>
    </xf>
    <xf numFmtId="0" fontId="0" fillId="12" borderId="39" applyAlignment="1" pivotButton="0" quotePrefix="0" xfId="0">
      <alignment horizontal="center" vertical="center"/>
    </xf>
    <xf numFmtId="0" fontId="0" fillId="9" borderId="40" applyAlignment="1" pivotButton="0" quotePrefix="0" xfId="0">
      <alignment horizontal="center" vertical="center"/>
    </xf>
    <xf numFmtId="0" fontId="9" fillId="0" borderId="63" applyAlignment="1" pivotButton="0" quotePrefix="0" xfId="0">
      <alignment horizontal="center" vertical="center"/>
    </xf>
    <xf numFmtId="0" fontId="0" fillId="10" borderId="46" applyAlignment="1" pivotButton="0" quotePrefix="0" xfId="0">
      <alignment horizontal="center" vertical="center"/>
    </xf>
    <xf numFmtId="0" fontId="0" fillId="9" borderId="42" applyAlignment="1" pivotButton="0" quotePrefix="0" xfId="0">
      <alignment horizontal="center" vertical="center"/>
    </xf>
    <xf numFmtId="0" fontId="0" fillId="12" borderId="46" applyAlignment="1" pivotButton="0" quotePrefix="0" xfId="0">
      <alignment horizontal="center" vertical="center"/>
    </xf>
    <xf numFmtId="0" fontId="0" fillId="9" borderId="47" applyAlignment="1" pivotButton="0" quotePrefix="0" xfId="0">
      <alignment horizontal="center" vertical="center"/>
    </xf>
    <xf numFmtId="0" fontId="9" fillId="0" borderId="64" applyAlignment="1" pivotButton="0" quotePrefix="0" xfId="0">
      <alignment horizontal="center" vertical="center"/>
    </xf>
    <xf numFmtId="0" fontId="0" fillId="13" borderId="55" applyAlignment="1" pivotButton="0" quotePrefix="0" xfId="0">
      <alignment horizontal="center" vertical="center"/>
    </xf>
    <xf numFmtId="0" fontId="0" fillId="13" borderId="56" applyAlignment="1" pivotButton="0" quotePrefix="0" xfId="0">
      <alignment horizontal="center" vertical="center"/>
    </xf>
    <xf numFmtId="0" fontId="0" fillId="13" borderId="57" applyAlignment="1" pivotButton="0" quotePrefix="0" xfId="0">
      <alignment horizontal="center" vertical="center"/>
    </xf>
    <xf numFmtId="0" fontId="0" fillId="9" borderId="39" applyAlignment="1" pivotButton="0" quotePrefix="0" xfId="0">
      <alignment horizontal="center" vertical="center"/>
    </xf>
    <xf numFmtId="0" fontId="0" fillId="10" borderId="20" applyAlignment="1" pivotButton="0" quotePrefix="0" xfId="0">
      <alignment horizontal="center" vertical="center"/>
    </xf>
    <xf numFmtId="0" fontId="0" fillId="12" borderId="36" applyAlignment="1" pivotButton="0" quotePrefix="0" xfId="0">
      <alignment horizontal="center" vertical="center"/>
    </xf>
    <xf numFmtId="0" fontId="0" fillId="9" borderId="23" applyAlignment="1" pivotButton="0" quotePrefix="0" xfId="0">
      <alignment horizontal="center" vertical="center"/>
    </xf>
    <xf numFmtId="0" fontId="0" fillId="11" borderId="25" applyAlignment="1" pivotButton="0" quotePrefix="0" xfId="0">
      <alignment horizontal="center" vertical="center"/>
    </xf>
    <xf numFmtId="0" fontId="0" fillId="10" borderId="22" applyAlignment="1" pivotButton="0" quotePrefix="0" xfId="0">
      <alignment horizontal="center" vertical="center"/>
    </xf>
    <xf numFmtId="0" fontId="0" fillId="10" borderId="23" applyAlignment="1" pivotButton="0" quotePrefix="0" xfId="0">
      <alignment horizontal="center" vertical="center"/>
    </xf>
    <xf numFmtId="0" fontId="0" fillId="10" borderId="25" applyAlignment="1" pivotButton="0" quotePrefix="0" xfId="0">
      <alignment horizontal="center" vertical="center"/>
    </xf>
    <xf numFmtId="0" fontId="0" fillId="12" borderId="33" applyAlignment="1" pivotButton="0" quotePrefix="0" xfId="0">
      <alignment horizontal="center" vertical="center"/>
    </xf>
    <xf numFmtId="0" fontId="0" fillId="12" borderId="43" applyAlignment="1" pivotButton="0" quotePrefix="0" xfId="0">
      <alignment horizontal="center" vertical="center"/>
    </xf>
    <xf numFmtId="0" fontId="0" fillId="9" borderId="12" applyAlignment="1" pivotButton="0" quotePrefix="0" xfId="0">
      <alignment horizontal="center" vertical="center"/>
    </xf>
    <xf numFmtId="0" fontId="0" fillId="12" borderId="13" applyAlignment="1" pivotButton="0" quotePrefix="0" xfId="0">
      <alignment horizontal="center" vertical="center"/>
    </xf>
    <xf numFmtId="0" fontId="0" fillId="10" borderId="8" applyAlignment="1" pivotButton="0" quotePrefix="0" xfId="0">
      <alignment horizontal="center" vertical="center"/>
    </xf>
    <xf numFmtId="0" fontId="0" fillId="10" borderId="9" applyAlignment="1" pivotButton="0" quotePrefix="0" xfId="0">
      <alignment horizontal="center" vertical="center"/>
    </xf>
    <xf numFmtId="0" fontId="0" fillId="12" borderId="27" applyAlignment="1" pivotButton="0" quotePrefix="0" xfId="0">
      <alignment horizontal="center" vertical="center"/>
    </xf>
    <xf numFmtId="0" fontId="0" fillId="12" borderId="34" applyAlignment="1" pivotButton="0" quotePrefix="0" xfId="0">
      <alignment horizontal="center" vertical="center"/>
    </xf>
    <xf numFmtId="0" fontId="0" fillId="9" borderId="9" applyAlignment="1" pivotButton="0" quotePrefix="0" xfId="0">
      <alignment horizontal="center" vertical="center"/>
    </xf>
    <xf numFmtId="0" fontId="0" fillId="10" borderId="29" applyAlignment="1" pivotButton="0" quotePrefix="0" xfId="0">
      <alignment horizontal="center" vertical="center"/>
    </xf>
    <xf numFmtId="0" fontId="0" fillId="11" borderId="35" applyAlignment="1" pivotButton="0" quotePrefix="0" xfId="0">
      <alignment horizontal="center" vertical="center"/>
    </xf>
    <xf numFmtId="0" fontId="0" fillId="10" borderId="42" applyAlignment="1" pivotButton="0" quotePrefix="0" xfId="0">
      <alignment horizontal="center" vertical="center"/>
    </xf>
    <xf numFmtId="0" fontId="0" fillId="11" borderId="22" applyAlignment="1" pivotButton="0" quotePrefix="0" xfId="0">
      <alignment horizontal="center" vertical="center"/>
    </xf>
    <xf numFmtId="0" fontId="0" fillId="12" borderId="9" applyAlignment="1" pivotButton="0" quotePrefix="0" xfId="0">
      <alignment horizontal="center" vertical="center"/>
    </xf>
    <xf numFmtId="0" fontId="0" fillId="12" borderId="29" applyAlignment="1" pivotButton="0" quotePrefix="0" xfId="0">
      <alignment horizontal="center" vertical="center"/>
    </xf>
  </cellXfs>
  <cellStyles count="2">
    <cellStyle name="Normal" xfId="0" builtinId="0"/>
    <cellStyle name="Percent" xfId="1" builtinId="5"/>
  </cellStyles>
  <dxfs count="34">
    <dxf>
      <fill>
        <patternFill>
          <bgColor theme="9" tint="0.3999450666829432"/>
        </patternFill>
      </fill>
    </dxf>
    <dxf>
      <fill>
        <patternFill>
          <bgColor theme="5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7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9" tint="0.3999450666829432"/>
        </patternFill>
      </fill>
    </dxf>
    <dxf>
      <fill>
        <patternFill>
          <bgColor theme="5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7" tint="0.5999633777886288"/>
        </patternFill>
      </fill>
    </dxf>
    <dxf>
      <fill>
        <patternFill>
          <bgColor theme="8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bgColor theme="7" tint="0.5999633777886288"/>
        </patternFill>
      </fill>
    </dxf>
    <dxf>
      <fill>
        <patternFill>
          <bgColor theme="9" tint="0.7999816888943144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99"/>
        </patternFill>
      </fill>
    </dxf>
    <dxf>
      <fill>
        <patternFill>
          <bgColor rgb="FFFFCC99"/>
        </patternFill>
      </fill>
    </dxf>
    <dxf>
      <fill>
        <patternFill>
          <bgColor theme="0" tint="-0.1499374370555742"/>
        </patternFill>
      </fill>
    </dxf>
    <dxf>
      <fill>
        <patternFill>
          <bgColor theme="8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9" tint="0.7999816888943144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99"/>
        </patternFill>
      </fill>
    </dxf>
    <dxf>
      <fill>
        <patternFill>
          <bgColor rgb="FFFFCC99"/>
        </patternFill>
      </fill>
    </dxf>
    <dxf>
      <fill>
        <patternFill>
          <bgColor theme="0" tint="-0.1499374370555742"/>
        </patternFill>
      </fill>
    </dxf>
    <dxf>
      <fill>
        <patternFill>
          <bgColor theme="8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bgColor theme="7" tint="0.5999633777886288"/>
        </patternFill>
      </fill>
    </dxf>
    <dxf>
      <fill>
        <patternFill>
          <bgColor theme="7" tint="0.599963377788628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B64"/>
  <sheetViews>
    <sheetView tabSelected="1" zoomScale="70" zoomScaleNormal="70" workbookViewId="0">
      <selection activeCell="E57" sqref="E57"/>
    </sheetView>
  </sheetViews>
  <sheetFormatPr baseColWidth="8" defaultRowHeight="15"/>
  <cols>
    <col width="19.42578125" bestFit="1" customWidth="1" min="1" max="1"/>
    <col width="13.5703125" bestFit="1" customWidth="1" style="1" min="2" max="2"/>
    <col width="13.5703125" bestFit="1" customWidth="1" style="2" min="3" max="3"/>
    <col width="16.5703125" bestFit="1" customWidth="1" min="4" max="4"/>
    <col width="18.5703125" bestFit="1" customWidth="1" min="5" max="5"/>
    <col width="11" bestFit="1" customWidth="1" min="11" max="11"/>
    <col width="14.140625" customWidth="1" min="13" max="13"/>
    <col width="14" bestFit="1" customWidth="1" min="14" max="14"/>
    <col width="25.28515625" bestFit="1" customWidth="1" min="15" max="15"/>
    <col width="36.42578125" customWidth="1" min="16" max="16"/>
    <col width="26.28515625" customWidth="1" min="17" max="17"/>
    <col width="22.42578125" customWidth="1" min="18" max="18"/>
    <col width="20" bestFit="1" customWidth="1" min="19" max="20"/>
    <col width="26.140625" bestFit="1" customWidth="1" min="21" max="21"/>
    <col width="20" bestFit="1" customWidth="1" min="22" max="22"/>
    <col width="17.28515625" customWidth="1" min="23" max="23"/>
    <col width="13" customWidth="1" min="24" max="24"/>
    <col width="10.42578125" bestFit="1" customWidth="1" min="25" max="25"/>
    <col width="13.42578125" bestFit="1" customWidth="1" min="26" max="26"/>
    <col width="11.85546875" bestFit="1" customWidth="1" min="27" max="27"/>
    <col width="13.140625" customWidth="1" min="28" max="28"/>
  </cols>
  <sheetData>
    <row r="1" ht="18.75" customHeight="1" thickBot="1">
      <c r="A1" s="147" t="inlineStr">
        <is>
          <t>Table</t>
        </is>
      </c>
      <c r="B1" s="135" t="n"/>
      <c r="C1" s="135" t="n"/>
      <c r="D1" s="135" t="n"/>
      <c r="E1" s="135" t="n"/>
      <c r="F1" s="135" t="n"/>
      <c r="G1" s="135" t="n"/>
      <c r="H1" s="135" t="n"/>
      <c r="I1" s="135" t="n"/>
      <c r="J1" s="135" t="n"/>
      <c r="K1" s="135" t="n"/>
      <c r="L1" s="135" t="n"/>
      <c r="M1" s="135" t="n"/>
      <c r="N1" s="148" t="n"/>
      <c r="O1" s="180" t="inlineStr">
        <is>
          <t>Additional Stats</t>
        </is>
      </c>
      <c r="P1" s="135" t="n"/>
      <c r="Q1" s="135" t="n"/>
      <c r="R1" s="135" t="n"/>
      <c r="S1" s="135" t="n"/>
      <c r="T1" s="135" t="n"/>
      <c r="U1" s="135" t="n"/>
      <c r="V1" s="135" t="n"/>
      <c r="W1" s="135" t="n"/>
      <c r="X1" s="135" t="n"/>
      <c r="Y1" s="135" t="n"/>
      <c r="Z1" s="135" t="n"/>
      <c r="AA1" s="135" t="n"/>
      <c r="AB1" s="148" t="n"/>
    </row>
    <row r="2" ht="18.75" customHeight="1" thickBot="1">
      <c r="A2" s="12" t="inlineStr">
        <is>
          <t>Title</t>
        </is>
      </c>
      <c r="B2" s="13" t="inlineStr">
        <is>
          <t>Reward*</t>
        </is>
      </c>
      <c r="C2" s="16" t="inlineStr">
        <is>
          <t>Position</t>
        </is>
      </c>
      <c r="D2" s="97" t="inlineStr">
        <is>
          <t>Team</t>
        </is>
      </c>
      <c r="E2" s="98" t="inlineStr">
        <is>
          <t>Owner</t>
        </is>
      </c>
      <c r="F2" s="105" t="inlineStr">
        <is>
          <t>Points</t>
        </is>
      </c>
      <c r="G2" s="104" t="inlineStr">
        <is>
          <t>Wins</t>
        </is>
      </c>
      <c r="H2" s="97" t="inlineStr">
        <is>
          <t>Draws</t>
        </is>
      </c>
      <c r="I2" s="98" t="inlineStr">
        <is>
          <t>Losses</t>
        </is>
      </c>
      <c r="J2" s="110" t="inlineStr">
        <is>
          <t>GP</t>
        </is>
      </c>
      <c r="K2" s="111" t="inlineStr">
        <is>
          <t>Games Left</t>
        </is>
      </c>
      <c r="L2" s="99" t="inlineStr">
        <is>
          <t>Score</t>
        </is>
      </c>
      <c r="M2" s="112" t="inlineStr">
        <is>
          <t>Score Against</t>
        </is>
      </c>
      <c r="N2" s="120" t="inlineStr">
        <is>
          <t>Plus/Minus</t>
        </is>
      </c>
      <c r="O2" s="99" t="inlineStr">
        <is>
          <t>GW Points on Bench</t>
        </is>
      </c>
      <c r="P2" s="100" t="inlineStr">
        <is>
          <t>Season Points on Bench</t>
        </is>
      </c>
      <c r="Q2" s="99" t="inlineStr">
        <is>
          <t>GW Transfers</t>
        </is>
      </c>
      <c r="R2" s="100" t="inlineStr">
        <is>
          <t>GW Transfer Hit</t>
        </is>
      </c>
      <c r="S2" s="104" t="inlineStr">
        <is>
          <t>Total Transfers Made</t>
        </is>
      </c>
      <c r="T2" s="98" t="inlineStr">
        <is>
          <t>Total Transfer Hit</t>
        </is>
      </c>
      <c r="U2" s="110" t="inlineStr">
        <is>
          <t>Highest Point Total Possible</t>
        </is>
      </c>
      <c r="V2" s="127" t="inlineStr">
        <is>
          <t>Current Team Value</t>
        </is>
      </c>
      <c r="W2" s="127" t="inlineStr">
        <is>
          <t>Wildcard 1</t>
        </is>
      </c>
      <c r="X2" s="128" t="inlineStr">
        <is>
          <t>Wildcard 2</t>
        </is>
      </c>
      <c r="Y2" s="128" t="inlineStr">
        <is>
          <t>Free Hit</t>
        </is>
      </c>
      <c r="Z2" s="128" t="inlineStr">
        <is>
          <t>Triple Captain</t>
        </is>
      </c>
      <c r="AA2" s="129" t="inlineStr">
        <is>
          <t>Bench Boost</t>
        </is>
      </c>
      <c r="AB2" s="129" t="inlineStr">
        <is>
          <t>AssMan</t>
        </is>
      </c>
    </row>
    <row r="3" ht="18.75" customHeight="1" thickBot="1">
      <c r="A3" s="20" t="inlineStr">
        <is>
          <t>Champion</t>
        </is>
      </c>
      <c r="B3" s="209" t="n">
        <v>225</v>
      </c>
      <c r="C3" s="86" t="n">
        <v>1</v>
      </c>
      <c r="D3" s="22" t="n"/>
      <c r="E3" s="101" t="n"/>
      <c r="F3" s="180" t="n"/>
      <c r="G3" s="25" t="n"/>
      <c r="H3" s="23" t="n"/>
      <c r="I3" s="26" t="n"/>
      <c r="J3" s="180" t="n"/>
      <c r="K3" s="10" t="n"/>
      <c r="L3" s="180" t="n"/>
      <c r="M3" s="25" t="n"/>
      <c r="N3" s="26" t="n"/>
      <c r="O3" s="134" t="n"/>
      <c r="P3" s="24" t="n"/>
      <c r="Q3" s="134" t="n"/>
      <c r="R3" s="24" t="n"/>
      <c r="S3" s="25" t="n"/>
      <c r="T3" s="26" t="n"/>
      <c r="U3" s="180" t="n"/>
      <c r="V3" s="121" t="n"/>
      <c r="W3" s="134" t="n"/>
      <c r="X3" s="23" t="n"/>
      <c r="Y3" s="23" t="n"/>
      <c r="Z3" s="23" t="n"/>
      <c r="AA3" s="23" t="n"/>
      <c r="AB3" s="24" t="n"/>
    </row>
    <row r="4" ht="18.75" customHeight="1">
      <c r="A4" s="28" t="inlineStr">
        <is>
          <t>Champions League</t>
        </is>
      </c>
      <c r="B4" s="210" t="n">
        <v>105</v>
      </c>
      <c r="C4" s="87" t="n">
        <v>2</v>
      </c>
      <c r="D4" s="30" t="n"/>
      <c r="E4" s="74" t="n"/>
      <c r="F4" s="36" t="n"/>
      <c r="G4" s="34" t="n"/>
      <c r="H4" s="32" t="n"/>
      <c r="I4" s="35" t="n"/>
      <c r="J4" s="36" t="n"/>
      <c r="K4" s="31" t="n"/>
      <c r="L4" s="36" t="n"/>
      <c r="M4" s="34" t="n"/>
      <c r="N4" s="35" t="n"/>
      <c r="O4" s="156" t="n"/>
      <c r="P4" s="33" t="n"/>
      <c r="Q4" s="156" t="n"/>
      <c r="R4" s="33" t="n"/>
      <c r="S4" s="34" t="n"/>
      <c r="T4" s="35" t="n"/>
      <c r="U4" s="36" t="n"/>
      <c r="V4" s="122" t="n"/>
      <c r="W4" s="156" t="n"/>
      <c r="X4" s="32" t="n"/>
      <c r="Y4" s="32" t="n"/>
      <c r="Z4" s="32" t="n"/>
      <c r="AA4" s="32" t="n"/>
      <c r="AB4" s="33" t="n"/>
    </row>
    <row r="5" ht="18.75" customHeight="1">
      <c r="A5" s="37" t="inlineStr">
        <is>
          <t>Champions League</t>
        </is>
      </c>
      <c r="B5" s="211" t="n">
        <v>90</v>
      </c>
      <c r="C5" s="88" t="n">
        <v>3</v>
      </c>
      <c r="D5" s="39" t="n"/>
      <c r="E5" s="75" t="n"/>
      <c r="F5" s="137" t="n"/>
      <c r="G5" s="162" t="n"/>
      <c r="H5" s="41" t="n"/>
      <c r="I5" s="43" t="n"/>
      <c r="J5" s="137" t="n"/>
      <c r="K5" s="40" t="n"/>
      <c r="L5" s="137" t="n"/>
      <c r="M5" s="162" t="n"/>
      <c r="N5" s="43" t="n"/>
      <c r="O5" s="150" t="n"/>
      <c r="P5" s="42" t="n"/>
      <c r="Q5" s="150" t="n"/>
      <c r="R5" s="42" t="n"/>
      <c r="S5" s="162" t="n"/>
      <c r="T5" s="43" t="n"/>
      <c r="U5" s="137" t="n"/>
      <c r="V5" s="123" t="n"/>
      <c r="W5" s="150" t="n"/>
      <c r="X5" s="117" t="n"/>
      <c r="Y5" s="117" t="n"/>
      <c r="Z5" s="117" t="n"/>
      <c r="AA5" s="117" t="n"/>
      <c r="AB5" s="42" t="n"/>
    </row>
    <row r="6" ht="18.75" customHeight="1" thickBot="1">
      <c r="A6" s="45" t="inlineStr">
        <is>
          <t>Champions League</t>
        </is>
      </c>
      <c r="B6" s="212" t="n">
        <v>80</v>
      </c>
      <c r="C6" s="89" t="n">
        <v>4</v>
      </c>
      <c r="D6" s="47" t="n"/>
      <c r="E6" s="76" t="n"/>
      <c r="F6" s="52" t="n"/>
      <c r="G6" s="142" t="n"/>
      <c r="H6" s="49" t="n"/>
      <c r="I6" s="51" t="n"/>
      <c r="J6" s="52" t="n"/>
      <c r="K6" s="48" t="n"/>
      <c r="L6" s="52" t="n"/>
      <c r="M6" s="142" t="n"/>
      <c r="N6" s="51" t="n"/>
      <c r="O6" s="164" t="n"/>
      <c r="P6" s="50" t="n"/>
      <c r="Q6" s="164" t="n"/>
      <c r="R6" s="50" t="n"/>
      <c r="S6" s="142" t="n"/>
      <c r="T6" s="51" t="n"/>
      <c r="U6" s="52" t="n"/>
      <c r="V6" s="124" t="n"/>
      <c r="W6" s="164" t="n"/>
      <c r="X6" s="49" t="n"/>
      <c r="Y6" s="49" t="n"/>
      <c r="Z6" s="49" t="n"/>
      <c r="AA6" s="49" t="n"/>
      <c r="AB6" s="50" t="n"/>
    </row>
    <row r="7" ht="18.75" customHeight="1">
      <c r="A7" s="53" t="inlineStr">
        <is>
          <t>Europa League</t>
        </is>
      </c>
      <c r="B7" s="213" t="n">
        <v>55</v>
      </c>
      <c r="C7" s="106" t="n">
        <v>5</v>
      </c>
      <c r="D7" s="55" t="n"/>
      <c r="E7" s="102" t="n"/>
      <c r="F7" s="179" t="n"/>
      <c r="G7" s="163" t="n"/>
      <c r="H7" s="58" t="n"/>
      <c r="I7" s="60" t="n"/>
      <c r="J7" s="179" t="n"/>
      <c r="K7" s="56" t="n"/>
      <c r="L7" s="179" t="n"/>
      <c r="M7" s="163" t="n"/>
      <c r="N7" s="35" t="n"/>
      <c r="O7" s="57" t="n"/>
      <c r="P7" s="59" t="n"/>
      <c r="Q7" s="57" t="n"/>
      <c r="R7" s="59" t="n"/>
      <c r="S7" s="163" t="n"/>
      <c r="T7" s="60" t="n"/>
      <c r="U7" s="179" t="n"/>
      <c r="V7" s="125" t="n"/>
      <c r="W7" s="156" t="n"/>
      <c r="X7" s="32" t="n"/>
      <c r="Y7" s="32" t="n"/>
      <c r="Z7" s="32" t="n"/>
      <c r="AA7" s="32" t="n"/>
      <c r="AB7" s="33" t="n"/>
    </row>
    <row r="8" ht="18.75" customHeight="1" thickBot="1">
      <c r="A8" s="62" t="inlineStr">
        <is>
          <t>Europa League</t>
        </is>
      </c>
      <c r="B8" s="214" t="n">
        <v>45</v>
      </c>
      <c r="C8" s="107" t="n">
        <v>6</v>
      </c>
      <c r="D8" s="64" t="n"/>
      <c r="E8" s="103" t="n"/>
      <c r="F8" s="151" t="n"/>
      <c r="G8" s="69" t="n"/>
      <c r="H8" s="67" t="n"/>
      <c r="I8" s="70" t="n"/>
      <c r="J8" s="151" t="n"/>
      <c r="K8" s="65" t="n"/>
      <c r="L8" s="151" t="n"/>
      <c r="M8" s="69" t="n"/>
      <c r="N8" s="51" t="n"/>
      <c r="O8" s="66" t="n"/>
      <c r="P8" s="68" t="n"/>
      <c r="Q8" s="66" t="n"/>
      <c r="R8" s="68" t="n"/>
      <c r="S8" s="69" t="n"/>
      <c r="T8" s="70" t="n"/>
      <c r="U8" s="151" t="n"/>
      <c r="V8" s="126" t="n"/>
      <c r="W8" s="164" t="n"/>
      <c r="X8" s="49" t="n"/>
      <c r="Y8" s="49" t="n"/>
      <c r="Z8" s="49" t="n"/>
      <c r="AA8" s="49" t="n"/>
      <c r="AB8" s="50" t="n"/>
    </row>
    <row r="9" ht="18.75" customHeight="1" thickBot="1">
      <c r="A9" s="72" t="inlineStr">
        <is>
          <t>Conference League</t>
        </is>
      </c>
      <c r="B9" s="215" t="n">
        <v>35</v>
      </c>
      <c r="C9" s="108" t="n">
        <v>7</v>
      </c>
      <c r="D9" s="22" t="n"/>
      <c r="E9" s="101" t="n"/>
      <c r="F9" s="180" t="n"/>
      <c r="G9" s="25" t="n"/>
      <c r="H9" s="23" t="n"/>
      <c r="I9" s="26" t="n"/>
      <c r="J9" s="180" t="n"/>
      <c r="K9" s="10" t="n"/>
      <c r="L9" s="180" t="n"/>
      <c r="M9" s="25" t="n"/>
      <c r="N9" s="26" t="n"/>
      <c r="O9" s="134" t="n"/>
      <c r="P9" s="24" t="n"/>
      <c r="Q9" s="134" t="n"/>
      <c r="R9" s="24" t="n"/>
      <c r="S9" s="25" t="n"/>
      <c r="T9" s="26" t="n"/>
      <c r="U9" s="180" t="n"/>
      <c r="V9" s="121" t="n"/>
      <c r="W9" s="113" t="n"/>
      <c r="X9" s="114" t="n"/>
      <c r="Y9" s="114" t="n"/>
      <c r="Z9" s="114" t="n"/>
      <c r="AA9" s="114" t="n"/>
      <c r="AB9" s="115" t="n"/>
    </row>
    <row r="10" ht="18.75" customHeight="1">
      <c r="A10" s="179" t="inlineStr">
        <is>
          <t>Battle of The Mid</t>
        </is>
      </c>
      <c r="B10" s="161" t="n"/>
      <c r="C10" s="90" t="n">
        <v>8</v>
      </c>
      <c r="D10" s="55" t="n"/>
      <c r="E10" s="102" t="n"/>
      <c r="F10" s="179" t="n"/>
      <c r="G10" s="163" t="n"/>
      <c r="H10" s="58" t="n"/>
      <c r="I10" s="60" t="n"/>
      <c r="J10" s="179" t="n"/>
      <c r="K10" s="56" t="n"/>
      <c r="L10" s="179" t="n"/>
      <c r="M10" s="163" t="n"/>
      <c r="N10" s="35" t="n"/>
      <c r="O10" s="57" t="n"/>
      <c r="P10" s="59" t="n"/>
      <c r="Q10" s="57" t="n"/>
      <c r="R10" s="59" t="n"/>
      <c r="S10" s="163" t="n"/>
      <c r="T10" s="60" t="n"/>
      <c r="U10" s="179" t="n"/>
      <c r="V10" s="125" t="n"/>
      <c r="W10" s="156" t="n"/>
      <c r="X10" s="32" t="n"/>
      <c r="Y10" s="32" t="n"/>
      <c r="Z10" s="32" t="n"/>
      <c r="AA10" s="32" t="n"/>
      <c r="AB10" s="33" t="n"/>
    </row>
    <row r="11" ht="18.75" customHeight="1">
      <c r="A11" s="137" t="inlineStr">
        <is>
          <t>Battle of The Mid</t>
        </is>
      </c>
      <c r="B11" s="138" t="n"/>
      <c r="C11" s="91" t="n">
        <v>9</v>
      </c>
      <c r="D11" s="39" t="n"/>
      <c r="E11" s="75" t="n"/>
      <c r="F11" s="137" t="n"/>
      <c r="G11" s="162" t="n"/>
      <c r="H11" s="41" t="n"/>
      <c r="I11" s="43" t="n"/>
      <c r="J11" s="137" t="n"/>
      <c r="K11" s="40" t="n"/>
      <c r="L11" s="137" t="n"/>
      <c r="M11" s="162" t="n"/>
      <c r="N11" s="43" t="n"/>
      <c r="O11" s="150" t="n"/>
      <c r="P11" s="42" t="n"/>
      <c r="Q11" s="150" t="n"/>
      <c r="R11" s="42" t="n"/>
      <c r="S11" s="162" t="n"/>
      <c r="T11" s="43" t="n"/>
      <c r="U11" s="137" t="n"/>
      <c r="V11" s="123" t="n"/>
      <c r="W11" s="150" t="n"/>
      <c r="X11" s="117" t="n"/>
      <c r="Y11" s="117" t="n"/>
      <c r="Z11" s="117" t="n"/>
      <c r="AA11" s="117" t="n"/>
      <c r="AB11" s="42" t="n"/>
    </row>
    <row r="12" ht="18.75" customHeight="1">
      <c r="A12" s="137" t="inlineStr">
        <is>
          <t>Battle of The Mid</t>
        </is>
      </c>
      <c r="B12" s="138" t="n"/>
      <c r="C12" s="91" t="n">
        <v>10</v>
      </c>
      <c r="D12" s="39" t="n"/>
      <c r="E12" s="75" t="n"/>
      <c r="F12" s="137" t="n"/>
      <c r="G12" s="162" t="n"/>
      <c r="H12" s="41" t="n"/>
      <c r="I12" s="43" t="n"/>
      <c r="J12" s="137" t="n"/>
      <c r="K12" s="40" t="n"/>
      <c r="L12" s="137" t="n"/>
      <c r="M12" s="162" t="n"/>
      <c r="N12" s="43" t="n"/>
      <c r="O12" s="150" t="n"/>
      <c r="P12" s="42" t="n"/>
      <c r="Q12" s="150" t="n"/>
      <c r="R12" s="42" t="n"/>
      <c r="S12" s="162" t="n"/>
      <c r="T12" s="43" t="n"/>
      <c r="U12" s="137" t="n"/>
      <c r="V12" s="123" t="n"/>
      <c r="W12" s="150" t="n"/>
      <c r="X12" s="117" t="n"/>
      <c r="Y12" s="117" t="n"/>
      <c r="Z12" s="117" t="n"/>
      <c r="AA12" s="117" t="n"/>
      <c r="AB12" s="42" t="n"/>
    </row>
    <row r="13" ht="18.75" customHeight="1">
      <c r="A13" s="137" t="inlineStr">
        <is>
          <t>Battle of The Mid</t>
        </is>
      </c>
      <c r="B13" s="138" t="n"/>
      <c r="C13" s="91" t="n">
        <v>11</v>
      </c>
      <c r="D13" s="39" t="n"/>
      <c r="E13" s="75" t="n"/>
      <c r="F13" s="137" t="n"/>
      <c r="G13" s="162" t="n"/>
      <c r="H13" s="41" t="n"/>
      <c r="I13" s="43" t="n"/>
      <c r="J13" s="137" t="n"/>
      <c r="K13" s="40" t="n"/>
      <c r="L13" s="137" t="n"/>
      <c r="M13" s="162" t="n"/>
      <c r="N13" s="43" t="n"/>
      <c r="O13" s="150" t="n"/>
      <c r="P13" s="42" t="n"/>
      <c r="Q13" s="150" t="n"/>
      <c r="R13" s="42" t="n"/>
      <c r="S13" s="162" t="n"/>
      <c r="T13" s="43" t="n"/>
      <c r="U13" s="137" t="n"/>
      <c r="V13" s="123" t="n"/>
      <c r="W13" s="150" t="n"/>
      <c r="X13" s="117" t="n"/>
      <c r="Y13" s="117" t="n"/>
      <c r="Z13" s="117" t="n"/>
      <c r="AA13" s="117" t="n"/>
      <c r="AB13" s="42" t="n"/>
    </row>
    <row r="14" ht="18.75" customHeight="1">
      <c r="A14" s="137" t="inlineStr">
        <is>
          <t>Battle of The Mid</t>
        </is>
      </c>
      <c r="B14" s="138" t="n"/>
      <c r="C14" s="91" t="n">
        <v>12</v>
      </c>
      <c r="D14" s="39" t="n"/>
      <c r="E14" s="75" t="n"/>
      <c r="F14" s="137" t="n"/>
      <c r="G14" s="162" t="n"/>
      <c r="H14" s="41" t="n"/>
      <c r="I14" s="43" t="n"/>
      <c r="J14" s="137" t="n"/>
      <c r="K14" s="40" t="n"/>
      <c r="L14" s="137" t="n"/>
      <c r="M14" s="162" t="n"/>
      <c r="N14" s="43" t="n"/>
      <c r="O14" s="150" t="n"/>
      <c r="P14" s="42" t="n"/>
      <c r="Q14" s="150" t="n"/>
      <c r="R14" s="42" t="n"/>
      <c r="S14" s="162" t="n"/>
      <c r="T14" s="43" t="n"/>
      <c r="U14" s="137" t="n"/>
      <c r="V14" s="123" t="n"/>
      <c r="W14" s="150" t="n"/>
      <c r="X14" s="117" t="n"/>
      <c r="Y14" s="117" t="n"/>
      <c r="Z14" s="117" t="n"/>
      <c r="AA14" s="117" t="n"/>
      <c r="AB14" s="42" t="n"/>
    </row>
    <row r="15" ht="18.75" customHeight="1">
      <c r="A15" s="137" t="inlineStr">
        <is>
          <t>Battle of The Mid</t>
        </is>
      </c>
      <c r="B15" s="138" t="n"/>
      <c r="C15" s="91" t="n">
        <v>13</v>
      </c>
      <c r="D15" s="39" t="n"/>
      <c r="E15" s="75" t="n"/>
      <c r="F15" s="137" t="n"/>
      <c r="G15" s="162" t="n"/>
      <c r="H15" s="41" t="n"/>
      <c r="I15" s="43" t="n"/>
      <c r="J15" s="137" t="n"/>
      <c r="K15" s="40" t="n"/>
      <c r="L15" s="137" t="n"/>
      <c r="M15" s="162" t="n"/>
      <c r="N15" s="43" t="n"/>
      <c r="O15" s="150" t="n"/>
      <c r="P15" s="42" t="n"/>
      <c r="Q15" s="150" t="n"/>
      <c r="R15" s="42" t="n"/>
      <c r="S15" s="162" t="n"/>
      <c r="T15" s="43" t="n"/>
      <c r="U15" s="137" t="n"/>
      <c r="V15" s="123" t="n"/>
      <c r="W15" s="150" t="n"/>
      <c r="X15" s="117" t="n"/>
      <c r="Y15" s="117" t="n"/>
      <c r="Z15" s="117" t="n"/>
      <c r="AA15" s="117" t="n"/>
      <c r="AB15" s="42" t="n"/>
    </row>
    <row r="16" ht="18.75" customHeight="1">
      <c r="A16" s="137" t="inlineStr">
        <is>
          <t>Battle of The Mid</t>
        </is>
      </c>
      <c r="B16" s="138" t="n"/>
      <c r="C16" s="91" t="n">
        <v>14</v>
      </c>
      <c r="D16" s="39" t="n"/>
      <c r="E16" s="75" t="n"/>
      <c r="F16" s="137" t="n"/>
      <c r="G16" s="162" t="n"/>
      <c r="H16" s="41" t="n"/>
      <c r="I16" s="43" t="n"/>
      <c r="J16" s="137" t="n"/>
      <c r="K16" s="40" t="n"/>
      <c r="L16" s="137" t="n"/>
      <c r="M16" s="162" t="n"/>
      <c r="N16" s="43" t="n"/>
      <c r="O16" s="150" t="n"/>
      <c r="P16" s="42" t="n"/>
      <c r="Q16" s="150" t="n"/>
      <c r="R16" s="42" t="n"/>
      <c r="S16" s="162" t="n"/>
      <c r="T16" s="43" t="n"/>
      <c r="U16" s="137" t="n"/>
      <c r="V16" s="123" t="n"/>
      <c r="W16" s="150" t="n"/>
      <c r="X16" s="117" t="n"/>
      <c r="Y16" s="117" t="n"/>
      <c r="Z16" s="117" t="n"/>
      <c r="AA16" s="117" t="n"/>
      <c r="AB16" s="42" t="n"/>
    </row>
    <row r="17" ht="18.75" customHeight="1" thickBot="1">
      <c r="A17" s="151" t="inlineStr">
        <is>
          <t>Battle of The Mid</t>
        </is>
      </c>
      <c r="B17" s="152" t="n"/>
      <c r="C17" s="109" t="n">
        <v>15</v>
      </c>
      <c r="D17" s="64" t="n"/>
      <c r="E17" s="103" t="n"/>
      <c r="F17" s="151" t="n"/>
      <c r="G17" s="69" t="n"/>
      <c r="H17" s="67" t="n"/>
      <c r="I17" s="70" t="n"/>
      <c r="J17" s="151" t="n"/>
      <c r="K17" s="65" t="n"/>
      <c r="L17" s="151" t="n"/>
      <c r="M17" s="69" t="n"/>
      <c r="N17" s="51" t="n"/>
      <c r="O17" s="66" t="n"/>
      <c r="P17" s="68" t="n"/>
      <c r="Q17" s="66" t="n"/>
      <c r="R17" s="68" t="n"/>
      <c r="S17" s="69" t="n"/>
      <c r="T17" s="70" t="n"/>
      <c r="U17" s="151" t="n"/>
      <c r="V17" s="126" t="n"/>
      <c r="W17" s="164" t="n"/>
      <c r="X17" s="49" t="n"/>
      <c r="Y17" s="49" t="n"/>
      <c r="Z17" s="49" t="n"/>
      <c r="AA17" s="49" t="n"/>
      <c r="AB17" s="50" t="n"/>
    </row>
    <row r="18" ht="18.75" customHeight="1" thickBot="1">
      <c r="A18" s="165" t="inlineStr">
        <is>
          <t>Relegation Battle</t>
        </is>
      </c>
      <c r="B18" s="148" t="n"/>
      <c r="C18" s="165" t="n">
        <v>16</v>
      </c>
      <c r="D18" s="22" t="n"/>
      <c r="E18" s="101" t="n"/>
      <c r="F18" s="180" t="n"/>
      <c r="G18" s="25" t="n"/>
      <c r="H18" s="23" t="n"/>
      <c r="I18" s="26" t="n"/>
      <c r="J18" s="180" t="n"/>
      <c r="K18" s="10" t="n"/>
      <c r="L18" s="180" t="n"/>
      <c r="M18" s="25" t="n"/>
      <c r="N18" s="26" t="n"/>
      <c r="O18" s="134" t="n"/>
      <c r="P18" s="24" t="n"/>
      <c r="Q18" s="134" t="n"/>
      <c r="R18" s="24" t="n"/>
      <c r="S18" s="25" t="n"/>
      <c r="T18" s="26" t="n"/>
      <c r="U18" s="180" t="n"/>
      <c r="V18" s="121" t="n"/>
      <c r="W18" s="113" t="n"/>
      <c r="X18" s="114" t="n"/>
      <c r="Y18" s="114" t="n"/>
      <c r="Z18" s="114" t="n"/>
      <c r="AA18" s="114" t="n"/>
      <c r="AB18" s="115" t="n"/>
    </row>
    <row r="19" ht="18.75" customHeight="1">
      <c r="A19" s="178" t="inlineStr">
        <is>
          <t>Relegation Zone</t>
        </is>
      </c>
      <c r="B19" s="172" t="n"/>
      <c r="C19" s="178" t="n">
        <v>17</v>
      </c>
      <c r="D19" s="30" t="n"/>
      <c r="E19" s="74" t="n"/>
      <c r="F19" s="36" t="n"/>
      <c r="G19" s="34" t="n"/>
      <c r="H19" s="32" t="n"/>
      <c r="I19" s="35" t="n"/>
      <c r="J19" s="36" t="n"/>
      <c r="K19" s="31" t="n"/>
      <c r="L19" s="36" t="n"/>
      <c r="M19" s="34" t="n"/>
      <c r="N19" s="35" t="n"/>
      <c r="O19" s="156" t="n"/>
      <c r="P19" s="33" t="n"/>
      <c r="Q19" s="156" t="n"/>
      <c r="R19" s="33" t="n"/>
      <c r="S19" s="34" t="n"/>
      <c r="T19" s="35" t="n"/>
      <c r="U19" s="36" t="n"/>
      <c r="V19" s="122" t="n"/>
      <c r="W19" s="156" t="n"/>
      <c r="X19" s="32" t="n"/>
      <c r="Y19" s="32" t="n"/>
      <c r="Z19" s="32" t="n"/>
      <c r="AA19" s="32" t="n"/>
      <c r="AB19" s="33" t="n"/>
    </row>
    <row r="20" ht="18.75" customHeight="1">
      <c r="A20" s="160" t="inlineStr">
        <is>
          <t>Relegation Zone</t>
        </is>
      </c>
      <c r="B20" s="161" t="n"/>
      <c r="C20" s="160" t="n">
        <v>18</v>
      </c>
      <c r="D20" s="39" t="n"/>
      <c r="E20" s="75" t="n"/>
      <c r="F20" s="137" t="n"/>
      <c r="G20" s="162" t="n"/>
      <c r="H20" s="41" t="n"/>
      <c r="I20" s="43" t="n"/>
      <c r="J20" s="137" t="n"/>
      <c r="K20" s="40" t="n"/>
      <c r="L20" s="137" t="n"/>
      <c r="M20" s="162" t="n"/>
      <c r="N20" s="43" t="n"/>
      <c r="O20" s="150" t="n"/>
      <c r="P20" s="42" t="n"/>
      <c r="Q20" s="150" t="n"/>
      <c r="R20" s="42" t="n"/>
      <c r="S20" s="162" t="n"/>
      <c r="T20" s="43" t="n"/>
      <c r="U20" s="137" t="n"/>
      <c r="V20" s="123" t="n"/>
      <c r="W20" s="150" t="n"/>
      <c r="X20" s="117" t="n"/>
      <c r="Y20" s="117" t="n"/>
      <c r="Z20" s="117" t="n"/>
      <c r="AA20" s="117" t="n"/>
      <c r="AB20" s="42" t="n"/>
    </row>
    <row r="21" ht="18.75" customHeight="1">
      <c r="A21" s="173" t="inlineStr">
        <is>
          <t>Relegation Zone</t>
        </is>
      </c>
      <c r="B21" s="138" t="n"/>
      <c r="C21" s="173" t="n">
        <v>19</v>
      </c>
      <c r="D21" s="39" t="n"/>
      <c r="E21" s="75" t="n"/>
      <c r="F21" s="137" t="n"/>
      <c r="G21" s="162" t="n"/>
      <c r="H21" s="41" t="n"/>
      <c r="I21" s="43" t="n"/>
      <c r="J21" s="137" t="n"/>
      <c r="K21" s="40" t="n"/>
      <c r="L21" s="137" t="n"/>
      <c r="M21" s="162" t="n"/>
      <c r="N21" s="43" t="n"/>
      <c r="O21" s="150" t="n"/>
      <c r="P21" s="42" t="n"/>
      <c r="Q21" s="150" t="n"/>
      <c r="R21" s="42" t="n"/>
      <c r="S21" s="162" t="n"/>
      <c r="T21" s="43" t="n"/>
      <c r="U21" s="137" t="n"/>
      <c r="V21" s="123" t="n"/>
      <c r="W21" s="150" t="n"/>
      <c r="X21" s="117" t="n"/>
      <c r="Y21" s="117" t="n"/>
      <c r="Z21" s="117" t="n"/>
      <c r="AA21" s="117" t="n"/>
      <c r="AB21" s="42" t="n"/>
    </row>
    <row r="22" ht="18.75" customHeight="1" thickBot="1">
      <c r="A22" s="159" t="inlineStr">
        <is>
          <t>Relegation Zone</t>
        </is>
      </c>
      <c r="B22" s="146" t="n"/>
      <c r="C22" s="159" t="n">
        <v>20</v>
      </c>
      <c r="D22" s="47" t="n"/>
      <c r="E22" s="76" t="n"/>
      <c r="F22" s="52" t="n"/>
      <c r="G22" s="142" t="n"/>
      <c r="H22" s="49" t="n"/>
      <c r="I22" s="51" t="n"/>
      <c r="J22" s="52" t="n"/>
      <c r="K22" s="48" t="n"/>
      <c r="L22" s="52" t="n"/>
      <c r="M22" s="142" t="n"/>
      <c r="N22" s="51" t="n"/>
      <c r="O22" s="164" t="n"/>
      <c r="P22" s="50" t="n"/>
      <c r="Q22" s="164" t="n"/>
      <c r="R22" s="50" t="n"/>
      <c r="S22" s="142" t="n"/>
      <c r="T22" s="51" t="n"/>
      <c r="U22" s="52" t="n"/>
      <c r="V22" s="124" t="n"/>
      <c r="W22" s="164" t="n"/>
      <c r="X22" s="49" t="n"/>
      <c r="Y22" s="49" t="n"/>
      <c r="Z22" s="49" t="n"/>
      <c r="AA22" s="49" t="n"/>
      <c r="AB22" s="50" t="n"/>
    </row>
    <row r="23" ht="18.75" customHeight="1" thickBot="1">
      <c r="A23" s="77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30" t="inlineStr">
        <is>
          <t>Chip Usage</t>
        </is>
      </c>
      <c r="W23" s="131">
        <f>COUNTIF(W3:W22, "*GW*") / COUNTA(W3:W22)</f>
        <v/>
      </c>
      <c r="X23" s="132">
        <f>COUNTIF(X3:X22, "*GW*") / COUNTA(X3:X22)</f>
        <v/>
      </c>
      <c r="Y23" s="132">
        <f>COUNTIF(Y3:Y22, "*GW*") / COUNTA(Y3:Y22)</f>
        <v/>
      </c>
      <c r="Z23" s="132">
        <f>COUNTIF(Z3:Z22, "*GW*") / COUNTA(Z3:Z22)</f>
        <v/>
      </c>
      <c r="AA23" s="132">
        <f>COUNTIF(AA3:AA22, "*GW*") / COUNTA(AA3:AA22)</f>
        <v/>
      </c>
      <c r="AB23" s="133">
        <f>COUNTIF(AB3:AB22, "*GW*") / COUNTA(AB3:AB22)</f>
        <v/>
      </c>
    </row>
    <row r="24" ht="18.75" customHeight="1" thickBot="1">
      <c r="A24" s="77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</row>
    <row r="25" ht="18.75" customHeight="1" thickBot="1">
      <c r="A25" s="11" t="n"/>
      <c r="B25" s="167" t="inlineStr">
        <is>
          <t>GW X Preview (Deadline: Day Month Dateth @ 3AM PST/6AM EST)</t>
        </is>
      </c>
      <c r="C25" s="168" t="n"/>
      <c r="D25" s="168" t="n"/>
      <c r="E25" s="168" t="n"/>
      <c r="F25" s="168" t="n"/>
      <c r="G25" s="168" t="n"/>
      <c r="H25" s="168" t="n"/>
      <c r="I25" s="168" t="n"/>
      <c r="J25" s="168" t="n"/>
      <c r="K25" s="168" t="n"/>
      <c r="L25" s="168" t="n"/>
      <c r="M25" s="168" t="n"/>
      <c r="N25" s="216" t="n"/>
      <c r="P25" s="170" t="inlineStr">
        <is>
          <t>Null</t>
        </is>
      </c>
      <c r="Q25" s="135" t="n"/>
      <c r="R25" s="135" t="n"/>
      <c r="S25" s="135" t="n"/>
      <c r="T25" s="135" t="n"/>
      <c r="U25" s="135" t="n"/>
      <c r="V25" s="135" t="n"/>
      <c r="W25" s="135" t="n"/>
      <c r="X25" s="135" t="n"/>
      <c r="Y25" s="148" t="n"/>
      <c r="Z25" s="78" t="n"/>
      <c r="AA25" s="11" t="n"/>
      <c r="AB25" s="11" t="n"/>
    </row>
    <row r="26" ht="18.75" customHeight="1">
      <c r="A26" s="11" t="n"/>
      <c r="B26" s="174" t="inlineStr">
        <is>
          <t>Matchup 1</t>
        </is>
      </c>
      <c r="C26" s="157" t="n"/>
      <c r="D26" s="158" t="n"/>
      <c r="E26" s="156" t="inlineStr">
        <is>
          <t>Teams</t>
        </is>
      </c>
      <c r="F26" s="157" t="n"/>
      <c r="G26" s="157" t="n"/>
      <c r="H26" s="157" t="n"/>
      <c r="I26" s="158" t="n"/>
      <c r="J26" s="171" t="inlineStr">
        <is>
          <t>Descr</t>
        </is>
      </c>
      <c r="K26" s="157" t="n"/>
      <c r="L26" s="157" t="n"/>
      <c r="M26" s="157" t="n"/>
      <c r="N26" s="158" t="n"/>
      <c r="P26" s="153" t="inlineStr">
        <is>
          <t>-</t>
        </is>
      </c>
      <c r="Q26" s="154" t="n"/>
      <c r="R26" s="155" t="n"/>
      <c r="S26" s="163" t="inlineStr">
        <is>
          <t>-</t>
        </is>
      </c>
      <c r="T26" s="154" t="n"/>
      <c r="U26" s="154" t="n"/>
      <c r="V26" s="154" t="n"/>
      <c r="W26" s="154" t="n"/>
      <c r="X26" s="154" t="n"/>
      <c r="Y26" s="155" t="n"/>
      <c r="Z26" s="79" t="n"/>
      <c r="AA26" s="11" t="n"/>
      <c r="AB26" s="11" t="n"/>
    </row>
    <row r="27" ht="18.75" customHeight="1">
      <c r="A27" s="11" t="n"/>
      <c r="B27" s="139" t="inlineStr">
        <is>
          <t>Match 2</t>
        </is>
      </c>
      <c r="C27" s="140" t="n"/>
      <c r="D27" s="141" t="n"/>
      <c r="E27" s="150" t="inlineStr">
        <is>
          <t>Teams</t>
        </is>
      </c>
      <c r="F27" s="140" t="n"/>
      <c r="G27" s="140" t="n"/>
      <c r="H27" s="140" t="n"/>
      <c r="I27" s="141" t="n"/>
      <c r="J27" s="166" t="inlineStr">
        <is>
          <t>Descr</t>
        </is>
      </c>
      <c r="K27" s="140" t="n"/>
      <c r="L27" s="140" t="n"/>
      <c r="M27" s="140" t="n"/>
      <c r="N27" s="141" t="n"/>
      <c r="P27" s="139" t="inlineStr">
        <is>
          <t>-</t>
        </is>
      </c>
      <c r="Q27" s="140" t="n"/>
      <c r="R27" s="141" t="n"/>
      <c r="S27" s="162" t="inlineStr">
        <is>
          <t>-</t>
        </is>
      </c>
      <c r="T27" s="140" t="n"/>
      <c r="U27" s="140" t="n"/>
      <c r="V27" s="140" t="n"/>
      <c r="W27" s="140" t="n"/>
      <c r="X27" s="140" t="n"/>
      <c r="Y27" s="141" t="n"/>
      <c r="Z27" s="79" t="n"/>
      <c r="AA27" s="11" t="n"/>
      <c r="AB27" s="11" t="n"/>
    </row>
    <row r="28" ht="18.75" customHeight="1" thickBot="1">
      <c r="A28" s="11" t="n"/>
      <c r="B28" s="149" t="inlineStr">
        <is>
          <t>Match 3</t>
        </is>
      </c>
      <c r="C28" s="143" t="n"/>
      <c r="D28" s="144" t="n"/>
      <c r="E28" s="164" t="inlineStr">
        <is>
          <t>Teams</t>
        </is>
      </c>
      <c r="F28" s="143" t="n"/>
      <c r="G28" s="143" t="n"/>
      <c r="H28" s="143" t="n"/>
      <c r="I28" s="144" t="n"/>
      <c r="J28" s="145" t="inlineStr">
        <is>
          <t>Descr</t>
        </is>
      </c>
      <c r="K28" s="143" t="n"/>
      <c r="L28" s="143" t="n"/>
      <c r="M28" s="143" t="n"/>
      <c r="N28" s="144" t="n"/>
      <c r="P28" s="139" t="inlineStr">
        <is>
          <t>-</t>
        </is>
      </c>
      <c r="Q28" s="140" t="n"/>
      <c r="R28" s="141" t="n"/>
      <c r="S28" s="162" t="inlineStr">
        <is>
          <t>-</t>
        </is>
      </c>
      <c r="T28" s="140" t="n"/>
      <c r="U28" s="140" t="n"/>
      <c r="V28" s="140" t="n"/>
      <c r="W28" s="140" t="n"/>
      <c r="X28" s="140" t="n"/>
      <c r="Y28" s="141" t="n"/>
      <c r="Z28" s="79" t="n"/>
      <c r="AA28" s="11" t="n"/>
      <c r="AB28" s="11" t="n"/>
    </row>
    <row r="29" ht="18.75" customHeight="1">
      <c r="A29" s="11" t="n"/>
      <c r="B29" s="80" t="n"/>
      <c r="C29" s="80" t="n"/>
      <c r="D29" s="80" t="n"/>
      <c r="E29" s="81" t="n"/>
      <c r="F29" s="81" t="n"/>
      <c r="G29" s="81" t="n"/>
      <c r="H29" s="81" t="n"/>
      <c r="I29" s="81" t="n"/>
      <c r="J29" s="79" t="n"/>
      <c r="K29" s="79" t="n"/>
      <c r="L29" s="79" t="n"/>
      <c r="M29" s="79" t="n"/>
      <c r="N29" s="79" t="n"/>
      <c r="P29" s="139" t="inlineStr">
        <is>
          <t>-</t>
        </is>
      </c>
      <c r="Q29" s="140" t="n"/>
      <c r="R29" s="141" t="n"/>
      <c r="S29" s="162" t="inlineStr">
        <is>
          <t>-</t>
        </is>
      </c>
      <c r="T29" s="140" t="n"/>
      <c r="U29" s="140" t="n"/>
      <c r="V29" s="140" t="n"/>
      <c r="W29" s="140" t="n"/>
      <c r="X29" s="140" t="n"/>
      <c r="Y29" s="141" t="n"/>
      <c r="Z29" s="79" t="n"/>
      <c r="AA29" s="11" t="n"/>
      <c r="AB29" s="11" t="n"/>
    </row>
    <row r="30" ht="18.75" customHeight="1" thickBot="1">
      <c r="A30" s="11" t="n"/>
      <c r="B30" s="80" t="n"/>
      <c r="C30" s="80" t="n"/>
      <c r="D30" s="80" t="n"/>
      <c r="E30" s="81" t="n"/>
      <c r="F30" s="81" t="n"/>
      <c r="G30" s="81" t="n"/>
      <c r="H30" s="81" t="n"/>
      <c r="I30" s="81" t="n"/>
      <c r="J30" s="79" t="n"/>
      <c r="K30" s="79" t="n"/>
      <c r="L30" s="79" t="n"/>
      <c r="M30" s="79" t="n"/>
      <c r="N30" s="79" t="n"/>
      <c r="P30" s="149" t="inlineStr">
        <is>
          <t>-</t>
        </is>
      </c>
      <c r="Q30" s="143" t="n"/>
      <c r="R30" s="144" t="n"/>
      <c r="S30" s="142" t="inlineStr">
        <is>
          <t>-</t>
        </is>
      </c>
      <c r="T30" s="143" t="n"/>
      <c r="U30" s="143" t="n"/>
      <c r="V30" s="143" t="n"/>
      <c r="W30" s="143" t="n"/>
      <c r="X30" s="143" t="n"/>
      <c r="Y30" s="144" t="n"/>
      <c r="Z30" s="79" t="n"/>
      <c r="AA30" s="11" t="n"/>
      <c r="AB30" s="11" t="n"/>
    </row>
    <row r="31" ht="18.75" customHeight="1" thickBot="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  <c r="AA31" s="11" t="n"/>
      <c r="AB31" s="11" t="n"/>
    </row>
    <row r="32" ht="18.75" customHeight="1" thickBot="1">
      <c r="A32" s="11" t="n"/>
      <c r="B32" s="147" t="inlineStr">
        <is>
          <t>Table By Score</t>
        </is>
      </c>
      <c r="C32" s="135" t="n"/>
      <c r="D32" s="135" t="n"/>
      <c r="E32" s="135" t="n"/>
      <c r="F32" s="135" t="n"/>
      <c r="G32" s="135" t="n"/>
      <c r="H32" s="135" t="n"/>
      <c r="I32" s="135" t="n"/>
      <c r="J32" s="135" t="n"/>
      <c r="K32" s="135" t="n"/>
      <c r="L32" s="135" t="n"/>
      <c r="M32" s="135" t="n"/>
      <c r="N32" s="148" t="n"/>
      <c r="P32" s="134" t="inlineStr">
        <is>
          <t>loading…</t>
        </is>
      </c>
      <c r="Q32" s="135" t="n"/>
      <c r="R32" s="135" t="n"/>
      <c r="S32" s="135" t="n"/>
      <c r="T32" s="135" t="n"/>
      <c r="U32" s="135" t="n"/>
      <c r="V32" s="135" t="n"/>
      <c r="W32" s="135" t="n"/>
      <c r="X32" s="135" t="n"/>
      <c r="Y32" s="136" t="n"/>
      <c r="Z32" s="11" t="n"/>
      <c r="AA32" s="11" t="n"/>
      <c r="AB32" s="11" t="n"/>
    </row>
    <row r="33" ht="15.75" customHeight="1" thickBot="1">
      <c r="A33" s="11" t="n"/>
      <c r="B33" s="147" t="inlineStr">
        <is>
          <t>Position</t>
        </is>
      </c>
      <c r="C33" s="16" t="inlineStr">
        <is>
          <t>AP</t>
        </is>
      </c>
      <c r="D33" s="83" t="inlineStr">
        <is>
          <t>Team</t>
        </is>
      </c>
      <c r="E33" s="84" t="inlineStr">
        <is>
          <t>Owner</t>
        </is>
      </c>
      <c r="F33" s="85" t="inlineStr">
        <is>
          <t>Points</t>
        </is>
      </c>
      <c r="G33" s="25" t="inlineStr">
        <is>
          <t>Wins</t>
        </is>
      </c>
      <c r="H33" s="23" t="inlineStr">
        <is>
          <t>Draws</t>
        </is>
      </c>
      <c r="I33" s="24" t="inlineStr">
        <is>
          <t>Losses</t>
        </is>
      </c>
      <c r="J33" s="134" t="inlineStr">
        <is>
          <t>GP</t>
        </is>
      </c>
      <c r="K33" s="10" t="inlineStr">
        <is>
          <t>Games Left</t>
        </is>
      </c>
      <c r="L33" s="16" t="inlineStr">
        <is>
          <t>Score</t>
        </is>
      </c>
      <c r="M33" s="17" t="inlineStr">
        <is>
          <t>Score Against</t>
        </is>
      </c>
      <c r="N33" s="18" t="inlineStr">
        <is>
          <t>Plus/Minus</t>
        </is>
      </c>
      <c r="P33" s="19" t="inlineStr">
        <is>
          <t>Team And Current Difficulty Ranking</t>
        </is>
      </c>
      <c r="Q33" s="14" t="inlineStr">
        <is>
          <t>Owner and Previous DR</t>
        </is>
      </c>
      <c r="R33" s="12" t="inlineStr">
        <is>
          <t>Next Opponent</t>
        </is>
      </c>
      <c r="S33" s="13" t="inlineStr">
        <is>
          <t>Rating</t>
        </is>
      </c>
      <c r="T33" s="12" t="inlineStr">
        <is>
          <t>Next Opponent</t>
        </is>
      </c>
      <c r="U33" s="15" t="inlineStr">
        <is>
          <t>Rating</t>
        </is>
      </c>
      <c r="V33" s="12" t="inlineStr">
        <is>
          <t>Next Opponent</t>
        </is>
      </c>
      <c r="W33" s="13" t="inlineStr">
        <is>
          <t>Rating</t>
        </is>
      </c>
      <c r="X33" s="12" t="inlineStr">
        <is>
          <t>Next Opponent</t>
        </is>
      </c>
      <c r="Y33" s="13" t="inlineStr">
        <is>
          <t>Rating</t>
        </is>
      </c>
      <c r="Z33" s="11" t="n"/>
    </row>
    <row r="34" ht="15.75" customHeight="1" thickBot="1">
      <c r="A34" s="11" t="n"/>
      <c r="B34" s="190" t="n">
        <v>1</v>
      </c>
      <c r="C34" s="206">
        <f>INDEX(C$2:C$22, MATCH(D34, D$2:D$22, 0))</f>
        <v/>
      </c>
      <c r="D34" s="200" t="n"/>
      <c r="E34" s="181" t="n"/>
      <c r="F34" s="10" t="n"/>
      <c r="G34" s="134" t="n"/>
      <c r="H34" s="23" t="n"/>
      <c r="I34" s="24" t="n"/>
      <c r="J34" s="25" t="n"/>
      <c r="K34" s="26" t="n"/>
      <c r="L34" s="180" t="n"/>
      <c r="M34" s="134" t="n"/>
      <c r="N34" s="24" t="n"/>
      <c r="P34" s="33" t="n"/>
      <c r="Q34" s="33" t="n"/>
      <c r="R34" s="34" t="n"/>
      <c r="S34" s="34" t="n"/>
      <c r="T34" s="34" t="n"/>
      <c r="U34" s="34" t="n"/>
      <c r="V34" s="34" t="n"/>
      <c r="W34" s="34" t="n"/>
      <c r="X34" s="34" t="n"/>
      <c r="Y34" s="34" t="n"/>
      <c r="Z34" s="11" t="n"/>
    </row>
    <row r="35" ht="15.75" customHeight="1">
      <c r="A35" s="11" t="n"/>
      <c r="B35" s="191" t="n">
        <v>2</v>
      </c>
      <c r="C35" s="36">
        <f>INDEX(C$2:C$22, MATCH(D35, D$2:D$22, 0))</f>
        <v/>
      </c>
      <c r="D35" s="201" t="n"/>
      <c r="E35" s="182" t="n"/>
      <c r="F35" s="31" t="n"/>
      <c r="G35" s="156" t="n"/>
      <c r="H35" s="32" t="n"/>
      <c r="I35" s="33" t="n"/>
      <c r="J35" s="34" t="n"/>
      <c r="K35" s="35" t="n"/>
      <c r="L35" s="36" t="n"/>
      <c r="M35" s="156" t="n"/>
      <c r="N35" s="33" t="n"/>
      <c r="P35" s="42" t="n"/>
      <c r="Q35" s="42" t="n"/>
      <c r="R35" s="162" t="n"/>
      <c r="S35" s="162" t="n"/>
      <c r="T35" s="162" t="n"/>
      <c r="U35" s="162" t="n"/>
      <c r="V35" s="162" t="n"/>
      <c r="W35" s="162" t="n"/>
      <c r="X35" s="162" t="n"/>
      <c r="Y35" s="162" t="n"/>
      <c r="Z35" s="11" t="n"/>
    </row>
    <row r="36" ht="15.75" customHeight="1">
      <c r="A36" s="11" t="n"/>
      <c r="B36" s="192" t="n">
        <v>3</v>
      </c>
      <c r="C36" s="137">
        <f>INDEX(C$2:C$22, MATCH(D36, D$2:D$22, 0))</f>
        <v/>
      </c>
      <c r="D36" s="202" t="n"/>
      <c r="E36" s="183" t="n"/>
      <c r="F36" s="40" t="n"/>
      <c r="G36" s="150" t="n"/>
      <c r="H36" s="117" t="n"/>
      <c r="I36" s="42" t="n"/>
      <c r="J36" s="162" t="n"/>
      <c r="K36" s="43" t="n"/>
      <c r="L36" s="137" t="n"/>
      <c r="M36" s="150" t="n"/>
      <c r="N36" s="42" t="n"/>
      <c r="P36" s="42" t="n"/>
      <c r="Q36" s="42" t="n"/>
      <c r="R36" s="162" t="n"/>
      <c r="S36" s="162" t="n"/>
      <c r="T36" s="162" t="n"/>
      <c r="U36" s="162" t="n"/>
      <c r="V36" s="162" t="n"/>
      <c r="W36" s="162" t="n"/>
      <c r="X36" s="162" t="n"/>
      <c r="Y36" s="162" t="n"/>
      <c r="Z36" s="11" t="n"/>
    </row>
    <row r="37" ht="15.75" customHeight="1" thickBot="1">
      <c r="A37" s="11" t="n"/>
      <c r="B37" s="193" t="n">
        <v>4</v>
      </c>
      <c r="C37" s="52">
        <f>INDEX(C$2:C$22, MATCH(D37, D$2:D$22, 0))</f>
        <v/>
      </c>
      <c r="D37" s="203" t="n"/>
      <c r="E37" s="184" t="n"/>
      <c r="F37" s="48" t="n"/>
      <c r="G37" s="164" t="n"/>
      <c r="H37" s="49" t="n"/>
      <c r="I37" s="50" t="n"/>
      <c r="J37" s="142" t="n"/>
      <c r="K37" s="51" t="n"/>
      <c r="L37" s="52" t="n"/>
      <c r="M37" s="164" t="n"/>
      <c r="N37" s="50" t="n"/>
      <c r="P37" s="42" t="n"/>
      <c r="Q37" s="42" t="n"/>
      <c r="R37" s="162" t="n"/>
      <c r="S37" s="162" t="n"/>
      <c r="T37" s="162" t="n"/>
      <c r="U37" s="162" t="n"/>
      <c r="V37" s="162" t="n"/>
      <c r="W37" s="162" t="n"/>
      <c r="X37" s="162" t="n"/>
      <c r="Y37" s="162" t="n"/>
      <c r="Z37" s="11" t="n"/>
    </row>
    <row r="38" ht="15.75" customHeight="1">
      <c r="A38" s="11" t="n"/>
      <c r="B38" s="194" t="n">
        <v>5</v>
      </c>
      <c r="C38" s="36">
        <f>INDEX(C$2:C$22, MATCH(D38, D$2:D$22, 0))</f>
        <v/>
      </c>
      <c r="D38" s="204" t="n"/>
      <c r="E38" s="185" t="n"/>
      <c r="F38" s="56" t="n"/>
      <c r="G38" s="57" t="n"/>
      <c r="H38" s="58" t="n"/>
      <c r="I38" s="59" t="n"/>
      <c r="J38" s="163" t="n"/>
      <c r="K38" s="60" t="n"/>
      <c r="L38" s="179" t="n"/>
      <c r="M38" s="57" t="n"/>
      <c r="N38" s="59" t="n"/>
      <c r="P38" s="42" t="n"/>
      <c r="Q38" s="42" t="n"/>
      <c r="R38" s="162" t="n"/>
      <c r="S38" s="162" t="n"/>
      <c r="T38" s="162" t="n"/>
      <c r="U38" s="162" t="n"/>
      <c r="V38" s="162" t="n"/>
      <c r="W38" s="162" t="n"/>
      <c r="X38" s="162" t="n"/>
      <c r="Y38" s="162" t="n"/>
      <c r="Z38" s="11" t="n"/>
    </row>
    <row r="39" ht="15.75" customHeight="1" thickBot="1">
      <c r="A39" s="11" t="n"/>
      <c r="B39" s="195" t="n">
        <v>6</v>
      </c>
      <c r="C39" s="52">
        <f>INDEX(C$2:C$22, MATCH(D39, D$2:D$22, 0))</f>
        <v/>
      </c>
      <c r="D39" s="205" t="n"/>
      <c r="E39" s="186" t="n"/>
      <c r="F39" s="65" t="n"/>
      <c r="G39" s="66" t="n"/>
      <c r="H39" s="67" t="n"/>
      <c r="I39" s="68" t="n"/>
      <c r="J39" s="69" t="n"/>
      <c r="K39" s="70" t="n"/>
      <c r="L39" s="151" t="n"/>
      <c r="M39" s="66" t="n"/>
      <c r="N39" s="68" t="n"/>
      <c r="P39" s="42" t="n"/>
      <c r="Q39" s="42" t="n"/>
      <c r="R39" s="162" t="n"/>
      <c r="S39" s="162" t="n"/>
      <c r="T39" s="162" t="n"/>
      <c r="U39" s="162" t="n"/>
      <c r="V39" s="162" t="n"/>
      <c r="W39" s="162" t="n"/>
      <c r="X39" s="162" t="n"/>
      <c r="Y39" s="162" t="n"/>
      <c r="Z39" s="11" t="n"/>
    </row>
    <row r="40" ht="15.75" customHeight="1" thickBot="1">
      <c r="A40" s="11" t="n"/>
      <c r="B40" s="196" t="n">
        <v>7</v>
      </c>
      <c r="C40" s="180">
        <f>INDEX(C$2:C$22, MATCH(D40, D$2:D$22, 0))</f>
        <v/>
      </c>
      <c r="D40" s="200" t="n"/>
      <c r="E40" s="181" t="n"/>
      <c r="F40" s="10" t="n"/>
      <c r="G40" s="134" t="n"/>
      <c r="H40" s="23" t="n"/>
      <c r="I40" s="24" t="n"/>
      <c r="J40" s="25" t="n"/>
      <c r="K40" s="26" t="n"/>
      <c r="L40" s="180" t="n"/>
      <c r="M40" s="134" t="n"/>
      <c r="N40" s="24" t="n"/>
      <c r="P40" s="42" t="n"/>
      <c r="Q40" s="42" t="n"/>
      <c r="R40" s="162" t="n"/>
      <c r="S40" s="162" t="n"/>
      <c r="T40" s="162" t="n"/>
      <c r="U40" s="162" t="n"/>
      <c r="V40" s="162" t="n"/>
      <c r="W40" s="162" t="n"/>
      <c r="X40" s="162" t="n"/>
      <c r="Y40" s="162" t="n"/>
      <c r="Z40" s="11" t="n"/>
    </row>
    <row r="41" ht="15.75" customHeight="1">
      <c r="A41" s="11" t="n"/>
      <c r="B41" s="118" t="n">
        <v>8</v>
      </c>
      <c r="C41" s="36">
        <f>INDEX(C$2:C$22, MATCH(D41, D$2:D$22, 0))</f>
        <v/>
      </c>
      <c r="D41" s="204" t="n"/>
      <c r="E41" s="185" t="n"/>
      <c r="F41" s="56" t="n"/>
      <c r="G41" s="57" t="n"/>
      <c r="H41" s="58" t="n"/>
      <c r="I41" s="59" t="n"/>
      <c r="J41" s="163" t="n"/>
      <c r="K41" s="60" t="n"/>
      <c r="L41" s="179" t="n"/>
      <c r="M41" s="57" t="n"/>
      <c r="N41" s="59" t="n"/>
      <c r="P41" s="42" t="n"/>
      <c r="Q41" s="42" t="n"/>
      <c r="R41" s="162" t="n"/>
      <c r="S41" s="162" t="n"/>
      <c r="T41" s="162" t="n"/>
      <c r="U41" s="162" t="n"/>
      <c r="V41" s="162" t="n"/>
      <c r="W41" s="162" t="n"/>
      <c r="X41" s="162" t="n"/>
      <c r="Y41" s="162" t="n"/>
      <c r="Z41" s="11" t="n"/>
    </row>
    <row r="42" ht="15.75" customHeight="1">
      <c r="A42" s="11" t="n"/>
      <c r="B42" s="116" t="n">
        <v>9</v>
      </c>
      <c r="C42" s="137">
        <f>INDEX(C$2:C$22, MATCH(D42, D$2:D$22, 0))</f>
        <v/>
      </c>
      <c r="D42" s="202" t="n"/>
      <c r="E42" s="183" t="n"/>
      <c r="F42" s="40" t="n"/>
      <c r="G42" s="150" t="n"/>
      <c r="H42" s="117" t="n"/>
      <c r="I42" s="42" t="n"/>
      <c r="J42" s="162" t="n"/>
      <c r="K42" s="43" t="n"/>
      <c r="L42" s="137" t="n"/>
      <c r="M42" s="150" t="n"/>
      <c r="N42" s="42" t="n"/>
      <c r="P42" s="42" t="n"/>
      <c r="Q42" s="42" t="n"/>
      <c r="R42" s="162" t="n"/>
      <c r="S42" s="162" t="n"/>
      <c r="T42" s="162" t="n"/>
      <c r="U42" s="162" t="n"/>
      <c r="V42" s="162" t="n"/>
      <c r="W42" s="162" t="n"/>
      <c r="X42" s="162" t="n"/>
      <c r="Y42" s="162" t="n"/>
      <c r="Z42" s="11" t="n"/>
    </row>
    <row r="43" ht="15.75" customHeight="1">
      <c r="A43" s="11" t="n"/>
      <c r="B43" s="116" t="n">
        <v>10</v>
      </c>
      <c r="C43" s="137">
        <f>INDEX(C$2:C$22, MATCH(D43, D$2:D$22, 0))</f>
        <v/>
      </c>
      <c r="D43" s="202" t="n"/>
      <c r="E43" s="183" t="n"/>
      <c r="F43" s="40" t="n"/>
      <c r="G43" s="150" t="n"/>
      <c r="H43" s="117" t="n"/>
      <c r="I43" s="42" t="n"/>
      <c r="J43" s="162" t="n"/>
      <c r="K43" s="43" t="n"/>
      <c r="L43" s="137" t="n"/>
      <c r="M43" s="150" t="n"/>
      <c r="N43" s="42" t="n"/>
      <c r="P43" s="42" t="n"/>
      <c r="Q43" s="42" t="n"/>
      <c r="R43" s="162" t="n"/>
      <c r="S43" s="162" t="n"/>
      <c r="T43" s="162" t="n"/>
      <c r="U43" s="162" t="n"/>
      <c r="V43" s="162" t="n"/>
      <c r="W43" s="162" t="n"/>
      <c r="X43" s="162" t="n"/>
      <c r="Y43" s="162" t="n"/>
      <c r="Z43" s="11" t="n"/>
    </row>
    <row r="44" ht="15.75" customHeight="1">
      <c r="A44" s="11" t="n"/>
      <c r="B44" s="116" t="n">
        <v>11</v>
      </c>
      <c r="C44" s="137">
        <f>INDEX(C$2:C$22, MATCH(D44, D$2:D$22, 0))</f>
        <v/>
      </c>
      <c r="D44" s="202" t="n"/>
      <c r="E44" s="183" t="n"/>
      <c r="F44" s="40" t="n"/>
      <c r="G44" s="150" t="n"/>
      <c r="H44" s="117" t="n"/>
      <c r="I44" s="42" t="n"/>
      <c r="J44" s="162" t="n"/>
      <c r="K44" s="43" t="n"/>
      <c r="L44" s="137" t="n"/>
      <c r="M44" s="150" t="n"/>
      <c r="N44" s="42" t="n"/>
      <c r="P44" s="42" t="n"/>
      <c r="Q44" s="42" t="n"/>
      <c r="R44" s="162" t="n"/>
      <c r="S44" s="162" t="n"/>
      <c r="T44" s="162" t="n"/>
      <c r="U44" s="162" t="n"/>
      <c r="V44" s="162" t="n"/>
      <c r="W44" s="162" t="n"/>
      <c r="X44" s="162" t="n"/>
      <c r="Y44" s="162" t="n"/>
      <c r="Z44" s="11" t="n"/>
    </row>
    <row r="45" ht="15.75" customHeight="1">
      <c r="A45" s="11" t="n"/>
      <c r="B45" s="116" t="n">
        <v>12</v>
      </c>
      <c r="C45" s="137">
        <f>INDEX(C$2:C$22, MATCH(D45, D$2:D$22, 0))</f>
        <v/>
      </c>
      <c r="D45" s="202" t="n"/>
      <c r="E45" s="183" t="n"/>
      <c r="F45" s="40" t="n"/>
      <c r="G45" s="150" t="n"/>
      <c r="H45" s="117" t="n"/>
      <c r="I45" s="42" t="n"/>
      <c r="J45" s="162" t="n"/>
      <c r="K45" s="43" t="n"/>
      <c r="L45" s="137" t="n"/>
      <c r="M45" s="150" t="n"/>
      <c r="N45" s="42" t="n"/>
      <c r="P45" s="42" t="n"/>
      <c r="Q45" s="42" t="n"/>
      <c r="R45" s="162" t="n"/>
      <c r="S45" s="162" t="n"/>
      <c r="T45" s="162" t="n"/>
      <c r="U45" s="162" t="n"/>
      <c r="V45" s="162" t="n"/>
      <c r="W45" s="162" t="n"/>
      <c r="X45" s="162" t="n"/>
      <c r="Y45" s="162" t="n"/>
      <c r="Z45" s="11" t="n"/>
    </row>
    <row r="46" ht="15.75" customHeight="1">
      <c r="A46" s="11" t="n"/>
      <c r="B46" s="116" t="n">
        <v>13</v>
      </c>
      <c r="C46" s="137">
        <f>INDEX(C$2:C$22, MATCH(D46, D$2:D$22, 0))</f>
        <v/>
      </c>
      <c r="D46" s="202" t="n"/>
      <c r="E46" s="183" t="n"/>
      <c r="F46" s="40" t="n"/>
      <c r="G46" s="150" t="n"/>
      <c r="H46" s="117" t="n"/>
      <c r="I46" s="42" t="n"/>
      <c r="J46" s="162" t="n"/>
      <c r="K46" s="43" t="n"/>
      <c r="L46" s="137" t="n"/>
      <c r="M46" s="150" t="n"/>
      <c r="N46" s="42" t="n"/>
      <c r="P46" s="42" t="n"/>
      <c r="Q46" s="42" t="n"/>
      <c r="R46" s="162" t="n"/>
      <c r="S46" s="162" t="n"/>
      <c r="T46" s="162" t="n"/>
      <c r="U46" s="162" t="n"/>
      <c r="V46" s="162" t="n"/>
      <c r="W46" s="162" t="n"/>
      <c r="X46" s="162" t="n"/>
      <c r="Y46" s="162" t="n"/>
      <c r="Z46" s="11" t="n"/>
    </row>
    <row r="47" ht="15.75" customHeight="1">
      <c r="A47" s="11" t="n"/>
      <c r="B47" s="116" t="n">
        <v>14</v>
      </c>
      <c r="C47" s="137">
        <f>INDEX(C$2:C$22, MATCH(D47, D$2:D$22, 0))</f>
        <v/>
      </c>
      <c r="D47" s="202" t="n"/>
      <c r="E47" s="183" t="n"/>
      <c r="F47" s="40" t="n"/>
      <c r="G47" s="150" t="n"/>
      <c r="H47" s="117" t="n"/>
      <c r="I47" s="42" t="n"/>
      <c r="J47" s="162" t="n"/>
      <c r="K47" s="43" t="n"/>
      <c r="L47" s="137" t="n"/>
      <c r="M47" s="150" t="n"/>
      <c r="N47" s="42" t="n"/>
      <c r="P47" s="42" t="n"/>
      <c r="Q47" s="42" t="n"/>
      <c r="R47" s="162" t="n"/>
      <c r="S47" s="162" t="n"/>
      <c r="T47" s="162" t="n"/>
      <c r="U47" s="162" t="n"/>
      <c r="V47" s="162" t="n"/>
      <c r="W47" s="162" t="n"/>
      <c r="X47" s="162" t="n"/>
      <c r="Y47" s="162" t="n"/>
      <c r="Z47" s="11" t="n"/>
    </row>
    <row r="48" ht="15.75" customHeight="1" thickBot="1">
      <c r="A48" s="11" t="n"/>
      <c r="B48" s="119" t="n">
        <v>15</v>
      </c>
      <c r="C48" s="151">
        <f>INDEX(C$2:C$22, MATCH(D48, D$2:D$22, 0))</f>
        <v/>
      </c>
      <c r="D48" s="205" t="n"/>
      <c r="E48" s="186" t="n"/>
      <c r="F48" s="65" t="n"/>
      <c r="G48" s="66" t="n"/>
      <c r="H48" s="67" t="n"/>
      <c r="I48" s="68" t="n"/>
      <c r="J48" s="69" t="n"/>
      <c r="K48" s="70" t="n"/>
      <c r="L48" s="151" t="n"/>
      <c r="M48" s="66" t="n"/>
      <c r="N48" s="68" t="n"/>
      <c r="P48" s="42" t="n"/>
      <c r="Q48" s="42" t="n"/>
      <c r="R48" s="162" t="n"/>
      <c r="S48" s="162" t="n"/>
      <c r="T48" s="162" t="n"/>
      <c r="U48" s="162" t="n"/>
      <c r="V48" s="162" t="n"/>
      <c r="W48" s="162" t="n"/>
      <c r="X48" s="162" t="n"/>
      <c r="Y48" s="162" t="n"/>
      <c r="Z48" s="11" t="n"/>
    </row>
    <row r="49" ht="15.75" customHeight="1" thickBot="1">
      <c r="A49" s="11" t="n"/>
      <c r="B49" s="207" t="n">
        <v>16</v>
      </c>
      <c r="C49" s="180">
        <f>INDEX(C$2:C$22, MATCH(D49, D$2:D$22, 0))</f>
        <v/>
      </c>
      <c r="D49" s="200" t="n"/>
      <c r="E49" s="181" t="n"/>
      <c r="F49" s="10" t="n"/>
      <c r="G49" s="134" t="n"/>
      <c r="H49" s="23" t="n"/>
      <c r="I49" s="24" t="n"/>
      <c r="J49" s="25" t="n"/>
      <c r="K49" s="26" t="n"/>
      <c r="L49" s="180" t="n"/>
      <c r="M49" s="134" t="n"/>
      <c r="N49" s="24" t="n"/>
      <c r="P49" s="42" t="n"/>
      <c r="Q49" s="42" t="n"/>
      <c r="R49" s="162" t="n"/>
      <c r="S49" s="162" t="n"/>
      <c r="T49" s="162" t="n"/>
      <c r="U49" s="162" t="n"/>
      <c r="V49" s="162" t="n"/>
      <c r="W49" s="162" t="n"/>
      <c r="X49" s="162" t="n"/>
      <c r="Y49" s="162" t="n"/>
      <c r="Z49" s="11" t="n"/>
    </row>
    <row r="50" ht="15.75" customHeight="1">
      <c r="A50" s="11" t="n"/>
      <c r="B50" s="208" t="n">
        <v>17</v>
      </c>
      <c r="C50" s="36">
        <f>INDEX(C$2:C$22, MATCH(D50, D$2:D$22, 0))</f>
        <v/>
      </c>
      <c r="D50" s="201" t="n"/>
      <c r="E50" s="187" t="n"/>
      <c r="F50" s="36" t="n"/>
      <c r="G50" s="34" t="n"/>
      <c r="H50" s="32" t="n"/>
      <c r="I50" s="33" t="n"/>
      <c r="J50" s="34" t="n"/>
      <c r="K50" s="35" t="n"/>
      <c r="L50" s="36" t="n"/>
      <c r="M50" s="156" t="n"/>
      <c r="N50" s="33" t="n"/>
      <c r="P50" s="42" t="n"/>
      <c r="Q50" s="42" t="n"/>
      <c r="R50" s="162" t="n"/>
      <c r="S50" s="162" t="n"/>
      <c r="T50" s="162" t="n"/>
      <c r="U50" s="162" t="n"/>
      <c r="V50" s="162" t="n"/>
      <c r="W50" s="162" t="n"/>
      <c r="X50" s="162" t="n"/>
      <c r="Y50" s="162" t="n"/>
      <c r="Z50" s="11" t="n"/>
    </row>
    <row r="51" ht="15.75" customHeight="1">
      <c r="A51" s="11" t="n"/>
      <c r="B51" s="197" t="n">
        <v>18</v>
      </c>
      <c r="C51" s="137">
        <f>INDEX(C$2:C$22, MATCH(D51, D$2:D$22, 0))</f>
        <v/>
      </c>
      <c r="D51" s="202" t="n"/>
      <c r="E51" s="188" t="n"/>
      <c r="F51" s="137" t="n"/>
      <c r="G51" s="162" t="n"/>
      <c r="H51" s="117" t="n"/>
      <c r="I51" s="42" t="n"/>
      <c r="J51" s="162" t="n"/>
      <c r="K51" s="43" t="n"/>
      <c r="L51" s="137" t="n"/>
      <c r="M51" s="150" t="n"/>
      <c r="N51" s="42" t="n"/>
      <c r="P51" s="42" t="n"/>
      <c r="Q51" s="42" t="n"/>
      <c r="R51" s="162" t="n"/>
      <c r="S51" s="162" t="n"/>
      <c r="T51" s="162" t="n"/>
      <c r="U51" s="162" t="n"/>
      <c r="V51" s="162" t="n"/>
      <c r="W51" s="162" t="n"/>
      <c r="X51" s="162" t="n"/>
      <c r="Y51" s="162" t="n"/>
      <c r="Z51" s="11" t="n"/>
    </row>
    <row r="52" ht="15.75" customHeight="1">
      <c r="A52" s="11" t="n"/>
      <c r="B52" s="198" t="n">
        <v>19</v>
      </c>
      <c r="C52" s="137">
        <f>INDEX(C$2:C$22, MATCH(D52, D$2:D$22, 0))</f>
        <v/>
      </c>
      <c r="D52" s="202" t="n"/>
      <c r="E52" s="188" t="n"/>
      <c r="F52" s="137" t="n"/>
      <c r="G52" s="162" t="n"/>
      <c r="H52" s="117" t="n"/>
      <c r="I52" s="42" t="n"/>
      <c r="J52" s="162" t="n"/>
      <c r="K52" s="43" t="n"/>
      <c r="L52" s="137" t="n"/>
      <c r="M52" s="150" t="n"/>
      <c r="N52" s="42" t="n"/>
      <c r="P52" s="42" t="n"/>
      <c r="Q52" s="42" t="n"/>
      <c r="R52" s="162" t="n"/>
      <c r="S52" s="162" t="n"/>
      <c r="T52" s="162" t="n"/>
      <c r="U52" s="162" t="n"/>
      <c r="V52" s="162" t="n"/>
      <c r="W52" s="162" t="n"/>
      <c r="X52" s="162" t="n"/>
      <c r="Y52" s="162" t="n"/>
      <c r="Z52" s="11" t="n"/>
    </row>
    <row r="53" ht="15.75" customHeight="1" thickBot="1">
      <c r="A53" s="11" t="n"/>
      <c r="B53" s="199" t="n">
        <v>20</v>
      </c>
      <c r="C53" s="52">
        <f>INDEX(C$2:C$22, MATCH(D53, D$2:D$22, 0))</f>
        <v/>
      </c>
      <c r="D53" s="203" t="n"/>
      <c r="E53" s="189" t="n"/>
      <c r="F53" s="52" t="n"/>
      <c r="G53" s="142" t="n"/>
      <c r="H53" s="49" t="n"/>
      <c r="I53" s="50" t="n"/>
      <c r="J53" s="142" t="n"/>
      <c r="K53" s="51" t="n"/>
      <c r="L53" s="52" t="n"/>
      <c r="M53" s="164" t="n"/>
      <c r="N53" s="50" t="n"/>
      <c r="P53" s="50" t="n"/>
      <c r="Q53" s="50" t="n"/>
      <c r="R53" s="142" t="n"/>
      <c r="S53" s="142" t="n"/>
      <c r="T53" s="142" t="n"/>
      <c r="U53" s="142" t="n"/>
      <c r="V53" s="142" t="n"/>
      <c r="W53" s="142" t="n"/>
      <c r="X53" s="142" t="n"/>
      <c r="Y53" s="142" t="n"/>
      <c r="Z53" s="11" t="n"/>
    </row>
    <row r="54" ht="15.75" customHeight="1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P54" s="77" t="inlineStr">
        <is>
          <t>Fixture Difficulty Ratings (FDR) follow the same logic as the ones FPL uses to rank a player's upcoming matches.</t>
        </is>
      </c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</row>
    <row r="55" ht="15.75" customHeight="1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P55" s="77" t="inlineStr">
        <is>
          <t>Rankings are 1-5. 1 = "easier",  5 = "harder".</t>
        </is>
      </c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</row>
    <row r="56" ht="15.75" customHeight="1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</row>
    <row r="57" ht="15.75" customHeight="1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Y57" s="11" t="n"/>
      <c r="Z57" s="11" t="n"/>
    </row>
    <row r="58" ht="15.75" customHeight="1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Y58" s="11" t="n"/>
      <c r="Z58" s="11" t="n"/>
    </row>
    <row r="59" ht="15.75" customHeight="1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Y59" s="11" t="n"/>
      <c r="Z59" s="11" t="n"/>
    </row>
    <row r="60" ht="15.75" customHeight="1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Y60" s="11" t="n"/>
      <c r="Z60" s="11" t="n"/>
    </row>
    <row r="61" ht="15.75" customHeight="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Y61" s="11" t="n"/>
      <c r="Z61" s="11" t="n"/>
    </row>
    <row r="62" ht="15.75" customHeight="1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Y62" s="11" t="n"/>
      <c r="Z62" s="11" t="n"/>
    </row>
    <row r="63" ht="15.75" customHeight="1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Y63" s="11" t="n"/>
      <c r="Z63" s="11" t="n"/>
    </row>
    <row r="64" ht="15.75" customHeight="1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Y64" s="11" t="n"/>
      <c r="Z64" s="11" t="n"/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8">
    <mergeCell ref="P32:Y32"/>
    <mergeCell ref="A15:B15"/>
    <mergeCell ref="P27:R27"/>
    <mergeCell ref="S30:Y30"/>
    <mergeCell ref="A11:B11"/>
    <mergeCell ref="J28:N28"/>
    <mergeCell ref="S29:Y29"/>
    <mergeCell ref="A1:N1"/>
    <mergeCell ref="B28:D28"/>
    <mergeCell ref="A16:B16"/>
    <mergeCell ref="S26:Y26"/>
    <mergeCell ref="B32:N32"/>
    <mergeCell ref="P28:R28"/>
    <mergeCell ref="E28:I28"/>
    <mergeCell ref="A18:B18"/>
    <mergeCell ref="J27:N27"/>
    <mergeCell ref="B25:N25"/>
    <mergeCell ref="O1:AB1"/>
    <mergeCell ref="A12:B12"/>
    <mergeCell ref="P25:Y25"/>
    <mergeCell ref="P30:R30"/>
    <mergeCell ref="J26:N26"/>
    <mergeCell ref="A21:B21"/>
    <mergeCell ref="S27:Y27"/>
    <mergeCell ref="B26:D26"/>
    <mergeCell ref="A14:B14"/>
    <mergeCell ref="E27:I27"/>
    <mergeCell ref="A17:B17"/>
    <mergeCell ref="P26:R26"/>
    <mergeCell ref="E26:I26"/>
    <mergeCell ref="A22:B22"/>
    <mergeCell ref="P29:R29"/>
    <mergeCell ref="A20:B20"/>
    <mergeCell ref="S28:Y28"/>
    <mergeCell ref="A19:B19"/>
    <mergeCell ref="A10:B10"/>
    <mergeCell ref="B27:D27"/>
    <mergeCell ref="A13:B13"/>
  </mergeCells>
  <conditionalFormatting sqref="P34:Y53">
    <cfRule type="containsText" priority="9" operator="containsText" dxfId="22" text="(1)">
      <formula>NOT(ISERROR(SEARCH("(1)",P34)))</formula>
    </cfRule>
    <cfRule type="containsText" priority="10" operator="containsText" dxfId="12" text="(2)">
      <formula>NOT(ISERROR(SEARCH("(2)",P34)))</formula>
    </cfRule>
    <cfRule type="containsText" priority="11" operator="containsText" dxfId="20" text="(3)">
      <formula>NOT(ISERROR(SEARCH("(3)",P34)))</formula>
    </cfRule>
    <cfRule type="containsText" priority="12" operator="containsText" dxfId="19" text="(4)">
      <formula>NOT(ISERROR(SEARCH("(4)",P34)))</formula>
    </cfRule>
    <cfRule type="containsText" priority="13" operator="containsText" dxfId="18" text="(5)">
      <formula>NOT(ISERROR(SEARCH("(5)",P34)))</formula>
    </cfRule>
  </conditionalFormatting>
  <conditionalFormatting sqref="W3:Z22">
    <cfRule type="containsText" priority="14" operator="containsText" dxfId="17" text="Expired">
      <formula>NOT(ISERROR(SEARCH("Expired",W3)))</formula>
    </cfRule>
    <cfRule type="containsText" priority="15" operator="containsText" dxfId="16" text="GW">
      <formula>NOT(ISERROR(SEARCH("GW",W3)))</formula>
    </cfRule>
    <cfRule type="containsText" priority="16" operator="containsText" dxfId="15" text="Available">
      <formula>NOT(ISERROR(SEARCH("Available",W3)))</formula>
    </cfRule>
  </conditionalFormatting>
  <conditionalFormatting sqref="C34:C53">
    <cfRule type="cellIs" priority="5" operator="equal" dxfId="3">
      <formula>1</formula>
    </cfRule>
    <cfRule type="cellIs" priority="4" operator="between" dxfId="2">
      <formula>2</formula>
      <formula>4</formula>
    </cfRule>
    <cfRule type="cellIs" priority="3" operator="between" dxfId="1">
      <formula>5</formula>
      <formula>6</formula>
    </cfRule>
    <cfRule type="cellIs" priority="2" operator="equal" dxfId="0">
      <formula>7</formula>
    </cfRule>
    <cfRule type="cellIs" priority="1" operator="between" dxfId="4">
      <formula>16</formula>
      <formula>20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AB64"/>
  <sheetViews>
    <sheetView workbookViewId="0">
      <selection activeCell="A1" sqref="A1"/>
    </sheetView>
  </sheetViews>
  <sheetFormatPr baseColWidth="8" defaultRowHeight="15"/>
  <cols>
    <col width="19.42578125" bestFit="1" customWidth="1" min="1" max="1"/>
    <col width="13.5703125" bestFit="1" customWidth="1" style="1" min="2" max="2"/>
    <col width="13.5703125" bestFit="1" customWidth="1" style="2" min="3" max="3"/>
    <col width="16.5703125" bestFit="1" customWidth="1" min="4" max="4"/>
    <col width="18.5703125" bestFit="1" customWidth="1" min="5" max="5"/>
    <col width="11" bestFit="1" customWidth="1" min="11" max="11"/>
    <col width="14.140625" customWidth="1" min="13" max="13"/>
    <col width="14" bestFit="1" customWidth="1" min="14" max="14"/>
    <col width="25.28515625" bestFit="1" customWidth="1" min="15" max="15"/>
    <col width="36.42578125" customWidth="1" min="16" max="16"/>
    <col width="26.28515625" customWidth="1" min="17" max="17"/>
    <col width="22.42578125" customWidth="1" min="18" max="18"/>
    <col width="20" bestFit="1" customWidth="1" min="19" max="20"/>
    <col width="26.140625" bestFit="1" customWidth="1" min="21" max="21"/>
    <col width="20" bestFit="1" customWidth="1" min="22" max="22"/>
    <col width="17.28515625" customWidth="1" min="23" max="23"/>
    <col width="13" customWidth="1" min="24" max="24"/>
    <col width="10.42578125" bestFit="1" customWidth="1" min="25" max="25"/>
    <col width="13.42578125" bestFit="1" customWidth="1" min="26" max="26"/>
    <col width="11.85546875" bestFit="1" customWidth="1" min="27" max="27"/>
    <col width="13.140625" customWidth="1" min="28" max="28"/>
  </cols>
  <sheetData>
    <row r="1" ht="18.75" customHeight="1" thickBot="1">
      <c r="A1" s="147" t="inlineStr">
        <is>
          <t>Table</t>
        </is>
      </c>
      <c r="B1" s="135" t="n"/>
      <c r="C1" s="135" t="n"/>
      <c r="D1" s="135" t="n"/>
      <c r="E1" s="135" t="n"/>
      <c r="F1" s="135" t="n"/>
      <c r="G1" s="135" t="n"/>
      <c r="H1" s="135" t="n"/>
      <c r="I1" s="135" t="n"/>
      <c r="J1" s="135" t="n"/>
      <c r="K1" s="135" t="n"/>
      <c r="L1" s="135" t="n"/>
      <c r="M1" s="135" t="n"/>
      <c r="N1" s="148" t="n"/>
      <c r="O1" s="180" t="inlineStr">
        <is>
          <t>Additional Stats</t>
        </is>
      </c>
      <c r="P1" s="135" t="n"/>
      <c r="Q1" s="135" t="n"/>
      <c r="R1" s="135" t="n"/>
      <c r="S1" s="135" t="n"/>
      <c r="T1" s="135" t="n"/>
      <c r="U1" s="135" t="n"/>
      <c r="V1" s="135" t="n"/>
      <c r="W1" s="135" t="n"/>
      <c r="X1" s="135" t="n"/>
      <c r="Y1" s="135" t="n"/>
      <c r="Z1" s="135" t="n"/>
      <c r="AA1" s="135" t="n"/>
      <c r="AB1" s="148" t="n"/>
    </row>
    <row r="2" ht="18.75" customHeight="1" thickBot="1">
      <c r="A2" s="12" t="inlineStr">
        <is>
          <t>Title</t>
        </is>
      </c>
      <c r="B2" s="13" t="inlineStr">
        <is>
          <t>Reward*</t>
        </is>
      </c>
      <c r="C2" s="16" t="inlineStr">
        <is>
          <t>Position</t>
        </is>
      </c>
      <c r="D2" s="217" t="inlineStr">
        <is>
          <t>Team</t>
        </is>
      </c>
      <c r="E2" s="217" t="inlineStr">
        <is>
          <t>Owner</t>
        </is>
      </c>
      <c r="F2" s="218" t="inlineStr">
        <is>
          <t>Points</t>
        </is>
      </c>
      <c r="G2" s="217" t="inlineStr">
        <is>
          <t>Wins</t>
        </is>
      </c>
      <c r="H2" s="217" t="inlineStr">
        <is>
          <t>Draws</t>
        </is>
      </c>
      <c r="I2" s="217" t="inlineStr">
        <is>
          <t>Losses</t>
        </is>
      </c>
      <c r="J2" s="217" t="inlineStr">
        <is>
          <t>GP</t>
        </is>
      </c>
      <c r="K2" s="217" t="inlineStr">
        <is>
          <t>Games Left</t>
        </is>
      </c>
      <c r="L2" s="217" t="inlineStr">
        <is>
          <t>Score</t>
        </is>
      </c>
      <c r="M2" s="218" t="inlineStr">
        <is>
          <t>Score Against</t>
        </is>
      </c>
      <c r="N2" s="218" t="inlineStr">
        <is>
          <t>Plus/Minus</t>
        </is>
      </c>
      <c r="O2" s="217" t="inlineStr">
        <is>
          <t>GW Points on Bench</t>
        </is>
      </c>
      <c r="P2" s="217" t="inlineStr">
        <is>
          <t>Season Points on Bench</t>
        </is>
      </c>
      <c r="Q2" s="217" t="inlineStr">
        <is>
          <t>GW Transfers</t>
        </is>
      </c>
      <c r="R2" s="217" t="inlineStr">
        <is>
          <t>GW Transfer Hit</t>
        </is>
      </c>
      <c r="S2" s="217" t="inlineStr">
        <is>
          <t>Total Transfers Made</t>
        </is>
      </c>
      <c r="T2" s="217" t="inlineStr">
        <is>
          <t>Total Transfer Hit</t>
        </is>
      </c>
      <c r="U2" s="217" t="inlineStr">
        <is>
          <t>Highest Point Total Possible</t>
        </is>
      </c>
      <c r="V2" s="217" t="inlineStr">
        <is>
          <t>Current Team Value</t>
        </is>
      </c>
      <c r="W2" s="217" t="inlineStr">
        <is>
          <t>Wildcard 1</t>
        </is>
      </c>
      <c r="X2" s="217" t="inlineStr">
        <is>
          <t>Wildcard 2</t>
        </is>
      </c>
      <c r="Y2" s="217" t="inlineStr">
        <is>
          <t>Free Hit</t>
        </is>
      </c>
      <c r="Z2" s="217" t="inlineStr">
        <is>
          <t>Triple Captain</t>
        </is>
      </c>
      <c r="AA2" s="217" t="inlineStr">
        <is>
          <t>Bench Boost</t>
        </is>
      </c>
      <c r="AB2" s="217" t="inlineStr">
        <is>
          <t>AssMan</t>
        </is>
      </c>
    </row>
    <row r="3" ht="18.75" customHeight="1" thickBot="1">
      <c r="A3" s="20" t="inlineStr">
        <is>
          <t>Champion</t>
        </is>
      </c>
      <c r="B3" s="209" t="n">
        <v>225</v>
      </c>
      <c r="C3" s="86" t="n">
        <v>1</v>
      </c>
      <c r="D3" s="22" t="inlineStr">
        <is>
          <t>Klopp's Resurgence</t>
        </is>
      </c>
      <c r="E3" s="101" t="inlineStr">
        <is>
          <t>Chandler Ashman</t>
        </is>
      </c>
      <c r="F3" s="180" t="n">
        <v>0</v>
      </c>
      <c r="G3" s="25" t="n">
        <v>0</v>
      </c>
      <c r="H3" s="23" t="n">
        <v>0</v>
      </c>
      <c r="I3" s="26" t="n">
        <v>0</v>
      </c>
      <c r="J3" s="180" t="n">
        <v>0</v>
      </c>
      <c r="K3" s="10" t="n">
        <v>38</v>
      </c>
      <c r="L3" s="219" t="n">
        <v>64</v>
      </c>
      <c r="M3" s="25" t="n">
        <v>27</v>
      </c>
      <c r="N3" s="220" t="n">
        <v>37</v>
      </c>
      <c r="O3" s="134" t="n">
        <v>6</v>
      </c>
      <c r="P3" s="24" t="n">
        <v>6</v>
      </c>
      <c r="Q3" s="221" t="n">
        <v>0</v>
      </c>
      <c r="R3" s="24" t="n">
        <v>0</v>
      </c>
      <c r="S3" s="222" t="n">
        <v>0</v>
      </c>
      <c r="T3" s="220" t="n">
        <v>0</v>
      </c>
      <c r="U3" s="180" t="n">
        <v>114</v>
      </c>
      <c r="V3" s="223" t="inlineStr">
        <is>
          <t>100.0</t>
        </is>
      </c>
      <c r="W3" s="224" t="inlineStr">
        <is>
          <t>Available</t>
        </is>
      </c>
      <c r="X3" s="225" t="inlineStr">
        <is>
          <t>Available</t>
        </is>
      </c>
      <c r="Y3" s="225" t="inlineStr">
        <is>
          <t>Available</t>
        </is>
      </c>
      <c r="Z3" s="225" t="inlineStr">
        <is>
          <t>Available</t>
        </is>
      </c>
      <c r="AA3" s="225" t="inlineStr">
        <is>
          <t>Available</t>
        </is>
      </c>
      <c r="AB3" s="226" t="inlineStr">
        <is>
          <t>Available</t>
        </is>
      </c>
    </row>
    <row r="4" ht="18.75" customHeight="1">
      <c r="A4" s="28" t="inlineStr">
        <is>
          <t>Champions League</t>
        </is>
      </c>
      <c r="B4" s="210" t="n">
        <v>105</v>
      </c>
      <c r="C4" s="87" t="n">
        <v>2</v>
      </c>
      <c r="D4" s="30" t="inlineStr">
        <is>
          <t>Peaky Reijnders</t>
        </is>
      </c>
      <c r="E4" s="74" t="inlineStr">
        <is>
          <t>Marvin Ling</t>
        </is>
      </c>
      <c r="F4" s="36" t="n">
        <v>0</v>
      </c>
      <c r="G4" s="34" t="n">
        <v>0</v>
      </c>
      <c r="H4" s="32" t="n">
        <v>0</v>
      </c>
      <c r="I4" s="35" t="n">
        <v>0</v>
      </c>
      <c r="J4" s="36" t="n">
        <v>0</v>
      </c>
      <c r="K4" s="31" t="n">
        <v>38</v>
      </c>
      <c r="L4" s="227" t="n">
        <v>60</v>
      </c>
      <c r="M4" s="34" t="n">
        <v>41</v>
      </c>
      <c r="N4" s="35" t="n">
        <v>19</v>
      </c>
      <c r="O4" s="156" t="n">
        <v>3</v>
      </c>
      <c r="P4" s="228" t="n">
        <v>3</v>
      </c>
      <c r="Q4" s="229" t="n">
        <v>0</v>
      </c>
      <c r="R4" s="33" t="n">
        <v>0</v>
      </c>
      <c r="S4" s="230" t="n">
        <v>0</v>
      </c>
      <c r="T4" s="231" t="n">
        <v>0</v>
      </c>
      <c r="U4" s="36" t="n">
        <v>114</v>
      </c>
      <c r="V4" s="232" t="inlineStr">
        <is>
          <t>100.0</t>
        </is>
      </c>
      <c r="W4" s="233" t="inlineStr">
        <is>
          <t>Available</t>
        </is>
      </c>
      <c r="X4" s="234" t="inlineStr">
        <is>
          <t>Available</t>
        </is>
      </c>
      <c r="Y4" s="234" t="inlineStr">
        <is>
          <t>Available</t>
        </is>
      </c>
      <c r="Z4" s="234" t="inlineStr">
        <is>
          <t>Available</t>
        </is>
      </c>
      <c r="AA4" s="234" t="inlineStr">
        <is>
          <t>Available</t>
        </is>
      </c>
      <c r="AB4" s="235" t="inlineStr">
        <is>
          <t>Available</t>
        </is>
      </c>
    </row>
    <row r="5" ht="18.75" customHeight="1">
      <c r="A5" s="37" t="inlineStr">
        <is>
          <t>Champions League</t>
        </is>
      </c>
      <c r="B5" s="211" t="n">
        <v>90</v>
      </c>
      <c r="C5" s="88" t="n">
        <v>3</v>
      </c>
      <c r="D5" s="39" t="inlineStr">
        <is>
          <t>Cech Mate</t>
        </is>
      </c>
      <c r="E5" s="75" t="inlineStr">
        <is>
          <t>Tyler Neal</t>
        </is>
      </c>
      <c r="F5" s="137" t="n">
        <v>0</v>
      </c>
      <c r="G5" s="162" t="n">
        <v>0</v>
      </c>
      <c r="H5" s="41" t="n">
        <v>0</v>
      </c>
      <c r="I5" s="43" t="n">
        <v>0</v>
      </c>
      <c r="J5" s="137" t="n">
        <v>0</v>
      </c>
      <c r="K5" s="40" t="n">
        <v>38</v>
      </c>
      <c r="L5" s="236" t="n">
        <v>53</v>
      </c>
      <c r="M5" s="162" t="n">
        <v>42</v>
      </c>
      <c r="N5" s="43" t="n">
        <v>11</v>
      </c>
      <c r="O5" s="150" t="n">
        <v>1</v>
      </c>
      <c r="P5" s="237" t="n">
        <v>1</v>
      </c>
      <c r="Q5" s="238" t="n">
        <v>0</v>
      </c>
      <c r="R5" s="42" t="n">
        <v>0</v>
      </c>
      <c r="S5" s="239" t="n">
        <v>0</v>
      </c>
      <c r="T5" s="240" t="n">
        <v>0</v>
      </c>
      <c r="U5" s="137" t="n">
        <v>114</v>
      </c>
      <c r="V5" s="241" t="inlineStr">
        <is>
          <t>100.0</t>
        </is>
      </c>
      <c r="W5" s="242" t="inlineStr">
        <is>
          <t>Available</t>
        </is>
      </c>
      <c r="X5" s="243" t="inlineStr">
        <is>
          <t>Available</t>
        </is>
      </c>
      <c r="Y5" s="243" t="inlineStr">
        <is>
          <t>Available</t>
        </is>
      </c>
      <c r="Z5" s="243" t="inlineStr">
        <is>
          <t>Available</t>
        </is>
      </c>
      <c r="AA5" s="243" t="inlineStr">
        <is>
          <t>Available</t>
        </is>
      </c>
      <c r="AB5" s="244" t="inlineStr">
        <is>
          <t>Available</t>
        </is>
      </c>
    </row>
    <row r="6" ht="18.75" customHeight="1" thickBot="1">
      <c r="A6" s="45" t="inlineStr">
        <is>
          <t>Champions League</t>
        </is>
      </c>
      <c r="B6" s="212" t="n">
        <v>80</v>
      </c>
      <c r="C6" s="89" t="n">
        <v>4</v>
      </c>
      <c r="D6" s="47" t="inlineStr">
        <is>
          <t>Cheeks FC</t>
        </is>
      </c>
      <c r="E6" s="76" t="inlineStr">
        <is>
          <t>Rehan Khan</t>
        </is>
      </c>
      <c r="F6" s="52" t="n">
        <v>0</v>
      </c>
      <c r="G6" s="142" t="n">
        <v>0</v>
      </c>
      <c r="H6" s="49" t="n">
        <v>0</v>
      </c>
      <c r="I6" s="51" t="n">
        <v>0</v>
      </c>
      <c r="J6" s="52" t="n">
        <v>0</v>
      </c>
      <c r="K6" s="48" t="n">
        <v>38</v>
      </c>
      <c r="L6" s="52" t="n">
        <v>50</v>
      </c>
      <c r="M6" s="142" t="n">
        <v>27</v>
      </c>
      <c r="N6" s="245" t="n">
        <v>23</v>
      </c>
      <c r="O6" s="164" t="n">
        <v>6</v>
      </c>
      <c r="P6" s="50" t="n">
        <v>6</v>
      </c>
      <c r="Q6" s="246" t="n">
        <v>0</v>
      </c>
      <c r="R6" s="50" t="n">
        <v>0</v>
      </c>
      <c r="S6" s="247" t="n">
        <v>0</v>
      </c>
      <c r="T6" s="248" t="n">
        <v>0</v>
      </c>
      <c r="U6" s="52" t="n">
        <v>114</v>
      </c>
      <c r="V6" s="249" t="inlineStr">
        <is>
          <t>100.0</t>
        </is>
      </c>
      <c r="W6" s="250" t="inlineStr">
        <is>
          <t>Available</t>
        </is>
      </c>
      <c r="X6" s="251" t="inlineStr">
        <is>
          <t>Available</t>
        </is>
      </c>
      <c r="Y6" s="251" t="inlineStr">
        <is>
          <t>Available</t>
        </is>
      </c>
      <c r="Z6" s="251" t="inlineStr">
        <is>
          <t>Available</t>
        </is>
      </c>
      <c r="AA6" s="251" t="inlineStr">
        <is>
          <t>Available</t>
        </is>
      </c>
      <c r="AB6" s="252" t="inlineStr">
        <is>
          <t>Available</t>
        </is>
      </c>
    </row>
    <row r="7" ht="18.75" customHeight="1">
      <c r="A7" s="53" t="inlineStr">
        <is>
          <t>Europa League</t>
        </is>
      </c>
      <c r="B7" s="213" t="n">
        <v>55</v>
      </c>
      <c r="C7" s="106" t="n">
        <v>5</v>
      </c>
      <c r="D7" s="55" t="inlineStr">
        <is>
          <t>Boogie Woogie</t>
        </is>
      </c>
      <c r="E7" s="102" t="inlineStr">
        <is>
          <t>James Giles</t>
        </is>
      </c>
      <c r="F7" s="179" t="n">
        <v>0</v>
      </c>
      <c r="G7" s="163" t="n">
        <v>0</v>
      </c>
      <c r="H7" s="58" t="n">
        <v>0</v>
      </c>
      <c r="I7" s="60" t="n">
        <v>0</v>
      </c>
      <c r="J7" s="179" t="n">
        <v>0</v>
      </c>
      <c r="K7" s="56" t="n">
        <v>38</v>
      </c>
      <c r="L7" s="179" t="n">
        <v>42</v>
      </c>
      <c r="M7" s="253" t="n">
        <v>53</v>
      </c>
      <c r="N7" s="35" t="n">
        <v>-11</v>
      </c>
      <c r="O7" s="57" t="n">
        <v>5</v>
      </c>
      <c r="P7" s="59" t="n">
        <v>5</v>
      </c>
      <c r="Q7" s="254" t="n">
        <v>0</v>
      </c>
      <c r="R7" s="59" t="n">
        <v>0</v>
      </c>
      <c r="S7" s="255" t="n">
        <v>0</v>
      </c>
      <c r="T7" s="256" t="n">
        <v>0</v>
      </c>
      <c r="U7" s="179" t="n">
        <v>114</v>
      </c>
      <c r="V7" s="257" t="inlineStr">
        <is>
          <t>100.0</t>
        </is>
      </c>
      <c r="W7" s="233" t="inlineStr">
        <is>
          <t>Available</t>
        </is>
      </c>
      <c r="X7" s="234" t="inlineStr">
        <is>
          <t>Available</t>
        </is>
      </c>
      <c r="Y7" s="234" t="inlineStr">
        <is>
          <t>Available</t>
        </is>
      </c>
      <c r="Z7" s="234" t="inlineStr">
        <is>
          <t>Available</t>
        </is>
      </c>
      <c r="AA7" s="234" t="inlineStr">
        <is>
          <t>Available</t>
        </is>
      </c>
      <c r="AB7" s="235" t="inlineStr">
        <is>
          <t>Available</t>
        </is>
      </c>
    </row>
    <row r="8" ht="18.75" customHeight="1" thickBot="1">
      <c r="A8" s="62" t="inlineStr">
        <is>
          <t>Europa League</t>
        </is>
      </c>
      <c r="B8" s="214" t="n">
        <v>45</v>
      </c>
      <c r="C8" s="107" t="n">
        <v>6</v>
      </c>
      <c r="D8" s="64" t="inlineStr">
        <is>
          <t>Carter's Angels</t>
        </is>
      </c>
      <c r="E8" s="103" t="inlineStr">
        <is>
          <t>Carter WitmerGautsch</t>
        </is>
      </c>
      <c r="F8" s="151" t="n">
        <v>0</v>
      </c>
      <c r="G8" s="69" t="n">
        <v>0</v>
      </c>
      <c r="H8" s="67" t="n">
        <v>0</v>
      </c>
      <c r="I8" s="70" t="n">
        <v>0</v>
      </c>
      <c r="J8" s="151" t="n">
        <v>0</v>
      </c>
      <c r="K8" s="65" t="n">
        <v>38</v>
      </c>
      <c r="L8" s="151" t="n">
        <v>41</v>
      </c>
      <c r="M8" s="258" t="n">
        <v>60</v>
      </c>
      <c r="N8" s="51" t="n">
        <v>-19</v>
      </c>
      <c r="O8" s="66" t="n">
        <v>4</v>
      </c>
      <c r="P8" s="68" t="n">
        <v>4</v>
      </c>
      <c r="Q8" s="259" t="n">
        <v>0</v>
      </c>
      <c r="R8" s="68" t="n">
        <v>0</v>
      </c>
      <c r="S8" s="260" t="n">
        <v>0</v>
      </c>
      <c r="T8" s="261" t="n">
        <v>0</v>
      </c>
      <c r="U8" s="151" t="n">
        <v>114</v>
      </c>
      <c r="V8" s="262" t="inlineStr">
        <is>
          <t>100.0</t>
        </is>
      </c>
      <c r="W8" s="250" t="inlineStr">
        <is>
          <t>Available</t>
        </is>
      </c>
      <c r="X8" s="251" t="inlineStr">
        <is>
          <t>Available</t>
        </is>
      </c>
      <c r="Y8" s="251" t="inlineStr">
        <is>
          <t>Available</t>
        </is>
      </c>
      <c r="Z8" s="251" t="inlineStr">
        <is>
          <t>Available</t>
        </is>
      </c>
      <c r="AA8" s="251" t="inlineStr">
        <is>
          <t>Available</t>
        </is>
      </c>
      <c r="AB8" s="252" t="inlineStr">
        <is>
          <t>Available</t>
        </is>
      </c>
    </row>
    <row r="9" ht="18.75" customHeight="1" thickBot="1">
      <c r="A9" s="72" t="inlineStr">
        <is>
          <t>Conference League</t>
        </is>
      </c>
      <c r="B9" s="215" t="n">
        <v>35</v>
      </c>
      <c r="C9" s="108" t="n">
        <v>7</v>
      </c>
      <c r="D9" s="22" t="inlineStr">
        <is>
          <t>Mandem FC</t>
        </is>
      </c>
      <c r="E9" s="101" t="inlineStr">
        <is>
          <t>Kamil Sacha</t>
        </is>
      </c>
      <c r="F9" s="180" t="n">
        <v>0</v>
      </c>
      <c r="G9" s="25" t="n">
        <v>0</v>
      </c>
      <c r="H9" s="23" t="n">
        <v>0</v>
      </c>
      <c r="I9" s="26" t="n">
        <v>0</v>
      </c>
      <c r="J9" s="180" t="n">
        <v>0</v>
      </c>
      <c r="K9" s="10" t="n">
        <v>38</v>
      </c>
      <c r="L9" s="180" t="n">
        <v>39</v>
      </c>
      <c r="M9" s="25" t="n">
        <v>33</v>
      </c>
      <c r="N9" s="26" t="n">
        <v>6</v>
      </c>
      <c r="O9" s="134" t="n">
        <v>5</v>
      </c>
      <c r="P9" s="24" t="n">
        <v>5</v>
      </c>
      <c r="Q9" s="221" t="n">
        <v>0</v>
      </c>
      <c r="R9" s="24" t="n">
        <v>0</v>
      </c>
      <c r="S9" s="222" t="n">
        <v>0</v>
      </c>
      <c r="T9" s="220" t="n">
        <v>0</v>
      </c>
      <c r="U9" s="180" t="n">
        <v>114</v>
      </c>
      <c r="V9" s="223" t="inlineStr">
        <is>
          <t>100.0</t>
        </is>
      </c>
      <c r="W9" s="263" t="inlineStr">
        <is>
          <t>Available</t>
        </is>
      </c>
      <c r="X9" s="264" t="inlineStr">
        <is>
          <t>Available</t>
        </is>
      </c>
      <c r="Y9" s="264" t="inlineStr">
        <is>
          <t>Available</t>
        </is>
      </c>
      <c r="Z9" s="264" t="inlineStr">
        <is>
          <t>Available</t>
        </is>
      </c>
      <c r="AA9" s="264" t="inlineStr">
        <is>
          <t>Available</t>
        </is>
      </c>
      <c r="AB9" s="265" t="inlineStr">
        <is>
          <t>Available</t>
        </is>
      </c>
    </row>
    <row r="10" ht="18.75" customHeight="1">
      <c r="A10" s="179" t="inlineStr">
        <is>
          <t>Battle of The Mid</t>
        </is>
      </c>
      <c r="B10" s="161" t="n"/>
      <c r="C10" s="90" t="n">
        <v>8</v>
      </c>
      <c r="D10" s="55" t="inlineStr">
        <is>
          <t>Cincy Til I Cry</t>
        </is>
      </c>
      <c r="E10" s="102" t="inlineStr">
        <is>
          <t>Tyler Quedens</t>
        </is>
      </c>
      <c r="F10" s="179" t="n">
        <v>0</v>
      </c>
      <c r="G10" s="163" t="n">
        <v>0</v>
      </c>
      <c r="H10" s="58" t="n">
        <v>0</v>
      </c>
      <c r="I10" s="60" t="n">
        <v>0</v>
      </c>
      <c r="J10" s="179" t="n">
        <v>0</v>
      </c>
      <c r="K10" s="56" t="n">
        <v>38</v>
      </c>
      <c r="L10" s="179" t="n">
        <v>39</v>
      </c>
      <c r="M10" s="266" t="n">
        <v>16</v>
      </c>
      <c r="N10" s="267" t="n">
        <v>23</v>
      </c>
      <c r="O10" s="57" t="n">
        <v>3</v>
      </c>
      <c r="P10" s="268" t="n">
        <v>3</v>
      </c>
      <c r="Q10" s="254" t="n">
        <v>0</v>
      </c>
      <c r="R10" s="59" t="n">
        <v>0</v>
      </c>
      <c r="S10" s="255" t="n">
        <v>0</v>
      </c>
      <c r="T10" s="256" t="n">
        <v>0</v>
      </c>
      <c r="U10" s="179" t="n">
        <v>114</v>
      </c>
      <c r="V10" s="257" t="inlineStr">
        <is>
          <t>100.0</t>
        </is>
      </c>
      <c r="W10" s="233" t="inlineStr">
        <is>
          <t>Available</t>
        </is>
      </c>
      <c r="X10" s="234" t="inlineStr">
        <is>
          <t>Available</t>
        </is>
      </c>
      <c r="Y10" s="234" t="inlineStr">
        <is>
          <t>Available</t>
        </is>
      </c>
      <c r="Z10" s="234" t="inlineStr">
        <is>
          <t>Available</t>
        </is>
      </c>
      <c r="AA10" s="234" t="inlineStr">
        <is>
          <t>Available</t>
        </is>
      </c>
      <c r="AB10" s="235" t="inlineStr">
        <is>
          <t>Available</t>
        </is>
      </c>
    </row>
    <row r="11" ht="18.75" customHeight="1">
      <c r="A11" s="137" t="inlineStr">
        <is>
          <t>Battle of The Mid</t>
        </is>
      </c>
      <c r="B11" s="138" t="n"/>
      <c r="C11" s="91" t="n">
        <v>9</v>
      </c>
      <c r="D11" s="39" t="inlineStr">
        <is>
          <t>Slopeds FC</t>
        </is>
      </c>
      <c r="E11" s="75" t="inlineStr">
        <is>
          <t>Michael Giles</t>
        </is>
      </c>
      <c r="F11" s="137" t="n">
        <v>0</v>
      </c>
      <c r="G11" s="162" t="n">
        <v>0</v>
      </c>
      <c r="H11" s="41" t="n">
        <v>0</v>
      </c>
      <c r="I11" s="43" t="n">
        <v>0</v>
      </c>
      <c r="J11" s="137" t="n">
        <v>0</v>
      </c>
      <c r="K11" s="40" t="n">
        <v>38</v>
      </c>
      <c r="L11" s="137" t="n">
        <v>39</v>
      </c>
      <c r="M11" s="162" t="n">
        <v>26</v>
      </c>
      <c r="N11" s="43" t="n">
        <v>13</v>
      </c>
      <c r="O11" s="238" t="n">
        <v>18</v>
      </c>
      <c r="P11" s="269" t="n">
        <v>18</v>
      </c>
      <c r="Q11" s="238" t="n">
        <v>0</v>
      </c>
      <c r="R11" s="42" t="n">
        <v>0</v>
      </c>
      <c r="S11" s="239" t="n">
        <v>0</v>
      </c>
      <c r="T11" s="240" t="n">
        <v>0</v>
      </c>
      <c r="U11" s="137" t="n">
        <v>114</v>
      </c>
      <c r="V11" s="241" t="inlineStr">
        <is>
          <t>100.0</t>
        </is>
      </c>
      <c r="W11" s="242" t="inlineStr">
        <is>
          <t>Available</t>
        </is>
      </c>
      <c r="X11" s="243" t="inlineStr">
        <is>
          <t>Available</t>
        </is>
      </c>
      <c r="Y11" s="243" t="inlineStr">
        <is>
          <t>Available</t>
        </is>
      </c>
      <c r="Z11" s="243" t="inlineStr">
        <is>
          <t>Available</t>
        </is>
      </c>
      <c r="AA11" s="243" t="inlineStr">
        <is>
          <t>Available</t>
        </is>
      </c>
      <c r="AB11" s="244" t="inlineStr">
        <is>
          <t>Available</t>
        </is>
      </c>
    </row>
    <row r="12" ht="18.75" customHeight="1">
      <c r="A12" s="137" t="inlineStr">
        <is>
          <t>Battle of The Mid</t>
        </is>
      </c>
      <c r="B12" s="138" t="n"/>
      <c r="C12" s="91" t="n">
        <v>10</v>
      </c>
      <c r="D12" s="39" t="inlineStr">
        <is>
          <t>Bend It Like Declan</t>
        </is>
      </c>
      <c r="E12" s="75" t="inlineStr">
        <is>
          <t>Derek Huddleston</t>
        </is>
      </c>
      <c r="F12" s="137" t="n">
        <v>0</v>
      </c>
      <c r="G12" s="162" t="n">
        <v>0</v>
      </c>
      <c r="H12" s="41" t="n">
        <v>0</v>
      </c>
      <c r="I12" s="43" t="n">
        <v>0</v>
      </c>
      <c r="J12" s="137" t="n">
        <v>0</v>
      </c>
      <c r="K12" s="40" t="n">
        <v>38</v>
      </c>
      <c r="L12" s="137" t="n">
        <v>37</v>
      </c>
      <c r="M12" s="162" t="n">
        <v>36</v>
      </c>
      <c r="N12" s="43" t="n">
        <v>1</v>
      </c>
      <c r="O12" s="150" t="n">
        <v>5</v>
      </c>
      <c r="P12" s="42" t="n">
        <v>5</v>
      </c>
      <c r="Q12" s="238" t="n">
        <v>0</v>
      </c>
      <c r="R12" s="42" t="n">
        <v>0</v>
      </c>
      <c r="S12" s="239" t="n">
        <v>0</v>
      </c>
      <c r="T12" s="240" t="n">
        <v>0</v>
      </c>
      <c r="U12" s="137" t="n">
        <v>114</v>
      </c>
      <c r="V12" s="241" t="inlineStr">
        <is>
          <t>100.0</t>
        </is>
      </c>
      <c r="W12" s="242" t="inlineStr">
        <is>
          <t>Available</t>
        </is>
      </c>
      <c r="X12" s="243" t="inlineStr">
        <is>
          <t>Available</t>
        </is>
      </c>
      <c r="Y12" s="243" t="inlineStr">
        <is>
          <t>Available</t>
        </is>
      </c>
      <c r="Z12" s="243" t="inlineStr">
        <is>
          <t>Available</t>
        </is>
      </c>
      <c r="AA12" s="243" t="inlineStr">
        <is>
          <t>Available</t>
        </is>
      </c>
      <c r="AB12" s="244" t="inlineStr">
        <is>
          <t>Available</t>
        </is>
      </c>
    </row>
    <row r="13" ht="18.75" customHeight="1">
      <c r="A13" s="137" t="inlineStr">
        <is>
          <t>Battle of The Mid</t>
        </is>
      </c>
      <c r="B13" s="138" t="n"/>
      <c r="C13" s="91" t="n">
        <v>11</v>
      </c>
      <c r="D13" s="39" t="inlineStr">
        <is>
          <t>Aches and Pains</t>
        </is>
      </c>
      <c r="E13" s="75" t="inlineStr">
        <is>
          <t>Imran khan</t>
        </is>
      </c>
      <c r="F13" s="137" t="n">
        <v>0</v>
      </c>
      <c r="G13" s="162" t="n">
        <v>0</v>
      </c>
      <c r="H13" s="41" t="n">
        <v>0</v>
      </c>
      <c r="I13" s="43" t="n">
        <v>0</v>
      </c>
      <c r="J13" s="137" t="n">
        <v>0</v>
      </c>
      <c r="K13" s="40" t="n">
        <v>38</v>
      </c>
      <c r="L13" s="137" t="n">
        <v>36</v>
      </c>
      <c r="M13" s="162" t="n">
        <v>37</v>
      </c>
      <c r="N13" s="43" t="n">
        <v>-1</v>
      </c>
      <c r="O13" s="150" t="n">
        <v>2</v>
      </c>
      <c r="P13" s="237" t="n">
        <v>2</v>
      </c>
      <c r="Q13" s="238" t="n">
        <v>0</v>
      </c>
      <c r="R13" s="42" t="n">
        <v>0</v>
      </c>
      <c r="S13" s="239" t="n">
        <v>0</v>
      </c>
      <c r="T13" s="240" t="n">
        <v>0</v>
      </c>
      <c r="U13" s="137" t="n">
        <v>114</v>
      </c>
      <c r="V13" s="241" t="inlineStr">
        <is>
          <t>100.0</t>
        </is>
      </c>
      <c r="W13" s="242" t="inlineStr">
        <is>
          <t>Available</t>
        </is>
      </c>
      <c r="X13" s="243" t="inlineStr">
        <is>
          <t>Available</t>
        </is>
      </c>
      <c r="Y13" s="243" t="inlineStr">
        <is>
          <t>Available</t>
        </is>
      </c>
      <c r="Z13" s="243" t="inlineStr">
        <is>
          <t>Available</t>
        </is>
      </c>
      <c r="AA13" s="243" t="inlineStr">
        <is>
          <t>Available</t>
        </is>
      </c>
      <c r="AB13" s="244" t="inlineStr">
        <is>
          <t>Available</t>
        </is>
      </c>
    </row>
    <row r="14" ht="18.75" customHeight="1">
      <c r="A14" s="137" t="inlineStr">
        <is>
          <t>Battle of The Mid</t>
        </is>
      </c>
      <c r="B14" s="138" t="n"/>
      <c r="C14" s="91" t="n">
        <v>12</v>
      </c>
      <c r="D14" s="39" t="inlineStr">
        <is>
          <t>Too Slot to Handle</t>
        </is>
      </c>
      <c r="E14" s="75" t="inlineStr">
        <is>
          <t>Julian Tarazi</t>
        </is>
      </c>
      <c r="F14" s="137" t="n">
        <v>0</v>
      </c>
      <c r="G14" s="162" t="n">
        <v>0</v>
      </c>
      <c r="H14" s="41" t="n">
        <v>0</v>
      </c>
      <c r="I14" s="43" t="n">
        <v>0</v>
      </c>
      <c r="J14" s="137" t="n">
        <v>0</v>
      </c>
      <c r="K14" s="40" t="n">
        <v>38</v>
      </c>
      <c r="L14" s="137" t="n">
        <v>35</v>
      </c>
      <c r="M14" s="270" t="n">
        <v>22</v>
      </c>
      <c r="N14" s="43" t="n">
        <v>13</v>
      </c>
      <c r="O14" s="150" t="n">
        <v>6</v>
      </c>
      <c r="P14" s="42" t="n">
        <v>6</v>
      </c>
      <c r="Q14" s="238" t="n">
        <v>0</v>
      </c>
      <c r="R14" s="42" t="n">
        <v>0</v>
      </c>
      <c r="S14" s="239" t="n">
        <v>0</v>
      </c>
      <c r="T14" s="240" t="n">
        <v>0</v>
      </c>
      <c r="U14" s="137" t="n">
        <v>114</v>
      </c>
      <c r="V14" s="241" t="inlineStr">
        <is>
          <t>100.0</t>
        </is>
      </c>
      <c r="W14" s="242" t="inlineStr">
        <is>
          <t>Available</t>
        </is>
      </c>
      <c r="X14" s="243" t="inlineStr">
        <is>
          <t>Available</t>
        </is>
      </c>
      <c r="Y14" s="243" t="inlineStr">
        <is>
          <t>Available</t>
        </is>
      </c>
      <c r="Z14" s="243" t="inlineStr">
        <is>
          <t>Available</t>
        </is>
      </c>
      <c r="AA14" s="243" t="inlineStr">
        <is>
          <t>Available</t>
        </is>
      </c>
      <c r="AB14" s="244" t="inlineStr">
        <is>
          <t>Available</t>
        </is>
      </c>
    </row>
    <row r="15" ht="18.75" customHeight="1">
      <c r="A15" s="137" t="inlineStr">
        <is>
          <t>Battle of The Mid</t>
        </is>
      </c>
      <c r="B15" s="138" t="n"/>
      <c r="C15" s="91" t="n">
        <v>13</v>
      </c>
      <c r="D15" s="39" t="inlineStr">
        <is>
          <t>lamine yamal party</t>
        </is>
      </c>
      <c r="E15" s="75" t="inlineStr">
        <is>
          <t>Hanson Xia</t>
        </is>
      </c>
      <c r="F15" s="137" t="n">
        <v>0</v>
      </c>
      <c r="G15" s="162" t="n">
        <v>0</v>
      </c>
      <c r="H15" s="41" t="n">
        <v>0</v>
      </c>
      <c r="I15" s="43" t="n">
        <v>0</v>
      </c>
      <c r="J15" s="137" t="n">
        <v>0</v>
      </c>
      <c r="K15" s="40" t="n">
        <v>38</v>
      </c>
      <c r="L15" s="137" t="n">
        <v>33</v>
      </c>
      <c r="M15" s="162" t="n">
        <v>39</v>
      </c>
      <c r="N15" s="43" t="n">
        <v>-6</v>
      </c>
      <c r="O15" s="271" t="n">
        <v>9</v>
      </c>
      <c r="P15" s="272" t="n">
        <v>9</v>
      </c>
      <c r="Q15" s="238" t="n">
        <v>0</v>
      </c>
      <c r="R15" s="42" t="n">
        <v>0</v>
      </c>
      <c r="S15" s="239" t="n">
        <v>0</v>
      </c>
      <c r="T15" s="240" t="n">
        <v>0</v>
      </c>
      <c r="U15" s="137" t="n">
        <v>114</v>
      </c>
      <c r="V15" s="241" t="inlineStr">
        <is>
          <t>100.0</t>
        </is>
      </c>
      <c r="W15" s="242" t="inlineStr">
        <is>
          <t>Available</t>
        </is>
      </c>
      <c r="X15" s="243" t="inlineStr">
        <is>
          <t>Available</t>
        </is>
      </c>
      <c r="Y15" s="243" t="inlineStr">
        <is>
          <t>Available</t>
        </is>
      </c>
      <c r="Z15" s="243" t="inlineStr">
        <is>
          <t>Available</t>
        </is>
      </c>
      <c r="AA15" s="243" t="inlineStr">
        <is>
          <t>Available</t>
        </is>
      </c>
      <c r="AB15" s="244" t="inlineStr">
        <is>
          <t>Available</t>
        </is>
      </c>
    </row>
    <row r="16" ht="18.75" customHeight="1">
      <c r="A16" s="137" t="inlineStr">
        <is>
          <t>Battle of The Mid</t>
        </is>
      </c>
      <c r="B16" s="138" t="n"/>
      <c r="C16" s="91" t="n">
        <v>14</v>
      </c>
      <c r="D16" s="39" t="inlineStr">
        <is>
          <t>Siuuuuuu Later</t>
        </is>
      </c>
      <c r="E16" s="75" t="inlineStr">
        <is>
          <t>Ryan Gallagher</t>
        </is>
      </c>
      <c r="F16" s="137" t="n">
        <v>0</v>
      </c>
      <c r="G16" s="162" t="n">
        <v>0</v>
      </c>
      <c r="H16" s="41" t="n">
        <v>0</v>
      </c>
      <c r="I16" s="43" t="n">
        <v>0</v>
      </c>
      <c r="J16" s="137" t="n">
        <v>0</v>
      </c>
      <c r="K16" s="40" t="n">
        <v>38</v>
      </c>
      <c r="L16" s="137" t="n">
        <v>29</v>
      </c>
      <c r="M16" s="273" t="n">
        <v>19</v>
      </c>
      <c r="N16" s="43" t="n">
        <v>10</v>
      </c>
      <c r="O16" s="150" t="n">
        <v>3</v>
      </c>
      <c r="P16" s="237" t="n">
        <v>3</v>
      </c>
      <c r="Q16" s="238" t="n">
        <v>0</v>
      </c>
      <c r="R16" s="42" t="n">
        <v>0</v>
      </c>
      <c r="S16" s="239" t="n">
        <v>0</v>
      </c>
      <c r="T16" s="240" t="n">
        <v>0</v>
      </c>
      <c r="U16" s="137" t="n">
        <v>114</v>
      </c>
      <c r="V16" s="241" t="inlineStr">
        <is>
          <t>100.0</t>
        </is>
      </c>
      <c r="W16" s="242" t="inlineStr">
        <is>
          <t>Available</t>
        </is>
      </c>
      <c r="X16" s="243" t="inlineStr">
        <is>
          <t>Available</t>
        </is>
      </c>
      <c r="Y16" s="243" t="inlineStr">
        <is>
          <t>Available</t>
        </is>
      </c>
      <c r="Z16" s="243" t="inlineStr">
        <is>
          <t>Available</t>
        </is>
      </c>
      <c r="AA16" s="243" t="inlineStr">
        <is>
          <t>Available</t>
        </is>
      </c>
      <c r="AB16" s="244" t="inlineStr">
        <is>
          <t>Available</t>
        </is>
      </c>
    </row>
    <row r="17" ht="18.75" customHeight="1" thickBot="1">
      <c r="A17" s="151" t="inlineStr">
        <is>
          <t>Battle of The Mid</t>
        </is>
      </c>
      <c r="B17" s="152" t="n"/>
      <c r="C17" s="109" t="n">
        <v>15</v>
      </c>
      <c r="D17" s="64" t="inlineStr">
        <is>
          <t>Noni to be upset</t>
        </is>
      </c>
      <c r="E17" s="103" t="inlineStr">
        <is>
          <t>Joel Mathew</t>
        </is>
      </c>
      <c r="F17" s="151" t="n">
        <v>0</v>
      </c>
      <c r="G17" s="69" t="n">
        <v>0</v>
      </c>
      <c r="H17" s="67" t="n">
        <v>0</v>
      </c>
      <c r="I17" s="70" t="n">
        <v>0</v>
      </c>
      <c r="J17" s="151" t="n">
        <v>0</v>
      </c>
      <c r="K17" s="65" t="n">
        <v>38</v>
      </c>
      <c r="L17" s="151" t="n">
        <v>27</v>
      </c>
      <c r="M17" s="69" t="n">
        <v>50</v>
      </c>
      <c r="N17" s="274" t="n">
        <v>-23</v>
      </c>
      <c r="O17" s="66" t="n">
        <v>3</v>
      </c>
      <c r="P17" s="275" t="n">
        <v>3</v>
      </c>
      <c r="Q17" s="259" t="n">
        <v>0</v>
      </c>
      <c r="R17" s="68" t="n">
        <v>0</v>
      </c>
      <c r="S17" s="260" t="n">
        <v>0</v>
      </c>
      <c r="T17" s="261" t="n">
        <v>0</v>
      </c>
      <c r="U17" s="151" t="n">
        <v>114</v>
      </c>
      <c r="V17" s="262" t="inlineStr">
        <is>
          <t>100.0</t>
        </is>
      </c>
      <c r="W17" s="250" t="inlineStr">
        <is>
          <t>Available</t>
        </is>
      </c>
      <c r="X17" s="251" t="inlineStr">
        <is>
          <t>Available</t>
        </is>
      </c>
      <c r="Y17" s="251" t="inlineStr">
        <is>
          <t>Available</t>
        </is>
      </c>
      <c r="Z17" s="251" t="inlineStr">
        <is>
          <t>Available</t>
        </is>
      </c>
      <c r="AA17" s="251" t="inlineStr">
        <is>
          <t>Available</t>
        </is>
      </c>
      <c r="AB17" s="252" t="inlineStr">
        <is>
          <t>Available</t>
        </is>
      </c>
    </row>
    <row r="18" ht="18.75" customHeight="1" thickBot="1">
      <c r="A18" s="165" t="inlineStr">
        <is>
          <t>Relegation Battle</t>
        </is>
      </c>
      <c r="B18" s="148" t="n"/>
      <c r="C18" s="165" t="n">
        <v>16</v>
      </c>
      <c r="D18" s="22" t="inlineStr">
        <is>
          <t>Bamford's Baddies</t>
        </is>
      </c>
      <c r="E18" s="101" t="inlineStr">
        <is>
          <t>Aj Pepperney</t>
        </is>
      </c>
      <c r="F18" s="180" t="n">
        <v>0</v>
      </c>
      <c r="G18" s="25" t="n">
        <v>0</v>
      </c>
      <c r="H18" s="23" t="n">
        <v>0</v>
      </c>
      <c r="I18" s="26" t="n">
        <v>0</v>
      </c>
      <c r="J18" s="180" t="n">
        <v>0</v>
      </c>
      <c r="K18" s="10" t="n">
        <v>38</v>
      </c>
      <c r="L18" s="180" t="n">
        <v>27</v>
      </c>
      <c r="M18" s="276" t="n">
        <v>64</v>
      </c>
      <c r="N18" s="277" t="n">
        <v>-37</v>
      </c>
      <c r="O18" s="278" t="n">
        <v>9</v>
      </c>
      <c r="P18" s="279" t="n">
        <v>9</v>
      </c>
      <c r="Q18" s="221" t="n">
        <v>0</v>
      </c>
      <c r="R18" s="24" t="n">
        <v>0</v>
      </c>
      <c r="S18" s="222" t="n">
        <v>0</v>
      </c>
      <c r="T18" s="220" t="n">
        <v>0</v>
      </c>
      <c r="U18" s="180" t="n">
        <v>114</v>
      </c>
      <c r="V18" s="223" t="inlineStr">
        <is>
          <t>100.0</t>
        </is>
      </c>
      <c r="W18" s="263" t="inlineStr">
        <is>
          <t>Available</t>
        </is>
      </c>
      <c r="X18" s="264" t="inlineStr">
        <is>
          <t>Available</t>
        </is>
      </c>
      <c r="Y18" s="264" t="inlineStr">
        <is>
          <t>Available</t>
        </is>
      </c>
      <c r="Z18" s="264" t="inlineStr">
        <is>
          <t>Available</t>
        </is>
      </c>
      <c r="AA18" s="264" t="inlineStr">
        <is>
          <t>Available</t>
        </is>
      </c>
      <c r="AB18" s="265" t="inlineStr">
        <is>
          <t>Available</t>
        </is>
      </c>
    </row>
    <row r="19" ht="18.75" customHeight="1">
      <c r="A19" s="178" t="inlineStr">
        <is>
          <t>Relegation Zone</t>
        </is>
      </c>
      <c r="B19" s="172" t="n"/>
      <c r="C19" s="178" t="n">
        <v>17</v>
      </c>
      <c r="D19" s="30" t="inlineStr">
        <is>
          <t>GyökGyök9000</t>
        </is>
      </c>
      <c r="E19" s="74" t="inlineStr">
        <is>
          <t>Avi Kumar</t>
        </is>
      </c>
      <c r="F19" s="36" t="n">
        <v>0</v>
      </c>
      <c r="G19" s="34" t="n">
        <v>0</v>
      </c>
      <c r="H19" s="32" t="n">
        <v>0</v>
      </c>
      <c r="I19" s="35" t="n">
        <v>0</v>
      </c>
      <c r="J19" s="36" t="n">
        <v>0</v>
      </c>
      <c r="K19" s="31" t="n">
        <v>38</v>
      </c>
      <c r="L19" s="36" t="n">
        <v>26</v>
      </c>
      <c r="M19" s="34" t="n">
        <v>39</v>
      </c>
      <c r="N19" s="35" t="n">
        <v>-13</v>
      </c>
      <c r="O19" s="156" t="n">
        <v>6</v>
      </c>
      <c r="P19" s="33" t="n">
        <v>6</v>
      </c>
      <c r="Q19" s="229" t="n">
        <v>0</v>
      </c>
      <c r="R19" s="33" t="n">
        <v>0</v>
      </c>
      <c r="S19" s="230" t="n">
        <v>0</v>
      </c>
      <c r="T19" s="231" t="n">
        <v>0</v>
      </c>
      <c r="U19" s="36" t="n">
        <v>114</v>
      </c>
      <c r="V19" s="232" t="inlineStr">
        <is>
          <t>100.0</t>
        </is>
      </c>
      <c r="W19" s="233" t="inlineStr">
        <is>
          <t>Available</t>
        </is>
      </c>
      <c r="X19" s="234" t="inlineStr">
        <is>
          <t>Available</t>
        </is>
      </c>
      <c r="Y19" s="234" t="inlineStr">
        <is>
          <t>Available</t>
        </is>
      </c>
      <c r="Z19" s="234" t="inlineStr">
        <is>
          <t>Available</t>
        </is>
      </c>
      <c r="AA19" s="234" t="inlineStr">
        <is>
          <t>Available</t>
        </is>
      </c>
      <c r="AB19" s="235" t="inlineStr">
        <is>
          <t>Available</t>
        </is>
      </c>
    </row>
    <row r="20" ht="18.75" customHeight="1">
      <c r="A20" s="160" t="inlineStr">
        <is>
          <t>Relegation Zone</t>
        </is>
      </c>
      <c r="B20" s="161" t="n"/>
      <c r="C20" s="160" t="n">
        <v>18</v>
      </c>
      <c r="D20" s="39" t="inlineStr">
        <is>
          <t>Eze Dub</t>
        </is>
      </c>
      <c r="E20" s="75" t="inlineStr">
        <is>
          <t>Seth Gerus</t>
        </is>
      </c>
      <c r="F20" s="137" t="n">
        <v>0</v>
      </c>
      <c r="G20" s="162" t="n">
        <v>0</v>
      </c>
      <c r="H20" s="41" t="n">
        <v>0</v>
      </c>
      <c r="I20" s="43" t="n">
        <v>0</v>
      </c>
      <c r="J20" s="137" t="n">
        <v>0</v>
      </c>
      <c r="K20" s="40" t="n">
        <v>38</v>
      </c>
      <c r="L20" s="280" t="n">
        <v>22</v>
      </c>
      <c r="M20" s="162" t="n">
        <v>35</v>
      </c>
      <c r="N20" s="43" t="n">
        <v>-13</v>
      </c>
      <c r="O20" s="150" t="n">
        <v>3</v>
      </c>
      <c r="P20" s="237" t="n">
        <v>3</v>
      </c>
      <c r="Q20" s="238" t="n">
        <v>0</v>
      </c>
      <c r="R20" s="42" t="n">
        <v>0</v>
      </c>
      <c r="S20" s="239" t="n">
        <v>0</v>
      </c>
      <c r="T20" s="240" t="n">
        <v>0</v>
      </c>
      <c r="U20" s="137" t="n">
        <v>114</v>
      </c>
      <c r="V20" s="241" t="inlineStr">
        <is>
          <t>100.0</t>
        </is>
      </c>
      <c r="W20" s="242" t="inlineStr">
        <is>
          <t>Available</t>
        </is>
      </c>
      <c r="X20" s="243" t="inlineStr">
        <is>
          <t>Available</t>
        </is>
      </c>
      <c r="Y20" s="243" t="inlineStr">
        <is>
          <t>Available</t>
        </is>
      </c>
      <c r="Z20" s="243" t="inlineStr">
        <is>
          <t>Available</t>
        </is>
      </c>
      <c r="AA20" s="243" t="inlineStr">
        <is>
          <t>Available</t>
        </is>
      </c>
      <c r="AB20" s="244" t="inlineStr">
        <is>
          <t>Available</t>
        </is>
      </c>
    </row>
    <row r="21" ht="18.75" customHeight="1">
      <c r="A21" s="173" t="inlineStr">
        <is>
          <t>Relegation Zone</t>
        </is>
      </c>
      <c r="B21" s="138" t="n"/>
      <c r="C21" s="173" t="n">
        <v>19</v>
      </c>
      <c r="D21" s="39" t="inlineStr">
        <is>
          <t>Peps Lads</t>
        </is>
      </c>
      <c r="E21" s="75" t="inlineStr">
        <is>
          <t>linden eberle</t>
        </is>
      </c>
      <c r="F21" s="137" t="n">
        <v>0</v>
      </c>
      <c r="G21" s="162" t="n">
        <v>0</v>
      </c>
      <c r="H21" s="41" t="n">
        <v>0</v>
      </c>
      <c r="I21" s="43" t="n">
        <v>0</v>
      </c>
      <c r="J21" s="137" t="n">
        <v>0</v>
      </c>
      <c r="K21" s="40" t="n">
        <v>38</v>
      </c>
      <c r="L21" s="280" t="n">
        <v>19</v>
      </c>
      <c r="M21" s="162" t="n">
        <v>29</v>
      </c>
      <c r="N21" s="43" t="n">
        <v>-10</v>
      </c>
      <c r="O21" s="150" t="n">
        <v>6</v>
      </c>
      <c r="P21" s="42" t="n">
        <v>6</v>
      </c>
      <c r="Q21" s="238" t="n">
        <v>0</v>
      </c>
      <c r="R21" s="42" t="n">
        <v>0</v>
      </c>
      <c r="S21" s="239" t="n">
        <v>0</v>
      </c>
      <c r="T21" s="240" t="n">
        <v>0</v>
      </c>
      <c r="U21" s="137" t="n">
        <v>114</v>
      </c>
      <c r="V21" s="241" t="inlineStr">
        <is>
          <t>100.0</t>
        </is>
      </c>
      <c r="W21" s="242" t="inlineStr">
        <is>
          <t>Available</t>
        </is>
      </c>
      <c r="X21" s="243" t="inlineStr">
        <is>
          <t>Available</t>
        </is>
      </c>
      <c r="Y21" s="243" t="inlineStr">
        <is>
          <t>Available</t>
        </is>
      </c>
      <c r="Z21" s="243" t="inlineStr">
        <is>
          <t>Available</t>
        </is>
      </c>
      <c r="AA21" s="243" t="inlineStr">
        <is>
          <t>Available</t>
        </is>
      </c>
      <c r="AB21" s="244" t="inlineStr">
        <is>
          <t>Available</t>
        </is>
      </c>
    </row>
    <row r="22" ht="18.75" customHeight="1" thickBot="1">
      <c r="A22" s="159" t="inlineStr">
        <is>
          <t>Relegation Zone</t>
        </is>
      </c>
      <c r="B22" s="146" t="n"/>
      <c r="C22" s="159" t="n">
        <v>20</v>
      </c>
      <c r="D22" s="47" t="inlineStr">
        <is>
          <t>livin saliba loca</t>
        </is>
      </c>
      <c r="E22" s="76" t="inlineStr">
        <is>
          <t>JD Garcia</t>
        </is>
      </c>
      <c r="F22" s="52" t="n">
        <v>0</v>
      </c>
      <c r="G22" s="142" t="n">
        <v>0</v>
      </c>
      <c r="H22" s="49" t="n">
        <v>0</v>
      </c>
      <c r="I22" s="51" t="n">
        <v>0</v>
      </c>
      <c r="J22" s="52" t="n">
        <v>0</v>
      </c>
      <c r="K22" s="48" t="n">
        <v>38</v>
      </c>
      <c r="L22" s="281" t="n">
        <v>16</v>
      </c>
      <c r="M22" s="142" t="n">
        <v>39</v>
      </c>
      <c r="N22" s="274" t="n">
        <v>-23</v>
      </c>
      <c r="O22" s="164" t="n">
        <v>6</v>
      </c>
      <c r="P22" s="50" t="n">
        <v>6</v>
      </c>
      <c r="Q22" s="246" t="n">
        <v>0</v>
      </c>
      <c r="R22" s="50" t="n">
        <v>0</v>
      </c>
      <c r="S22" s="247" t="n">
        <v>0</v>
      </c>
      <c r="T22" s="248" t="n">
        <v>0</v>
      </c>
      <c r="U22" s="52" t="n">
        <v>114</v>
      </c>
      <c r="V22" s="249" t="inlineStr">
        <is>
          <t>100.0</t>
        </is>
      </c>
      <c r="W22" s="250" t="inlineStr">
        <is>
          <t>Available</t>
        </is>
      </c>
      <c r="X22" s="251" t="inlineStr">
        <is>
          <t>Available</t>
        </is>
      </c>
      <c r="Y22" s="251" t="inlineStr">
        <is>
          <t>Available</t>
        </is>
      </c>
      <c r="Z22" s="251" t="inlineStr">
        <is>
          <t>Available</t>
        </is>
      </c>
      <c r="AA22" s="251" t="inlineStr">
        <is>
          <t>Available</t>
        </is>
      </c>
      <c r="AB22" s="252" t="inlineStr">
        <is>
          <t>Available</t>
        </is>
      </c>
    </row>
    <row r="23" ht="18.75" customHeight="1" thickBot="1">
      <c r="A23" s="77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30" t="inlineStr">
        <is>
          <t>Chip Usage</t>
        </is>
      </c>
      <c r="W23" s="131">
        <f>COUNTIF(W3:W22, "*GW*") / COUNTA(W3:W22)</f>
        <v/>
      </c>
      <c r="X23" s="132">
        <f>COUNTIF(X3:X22, "*GW*") / COUNTA(X3:X22)</f>
        <v/>
      </c>
      <c r="Y23" s="132">
        <f>COUNTIF(Y3:Y22, "*GW*") / COUNTA(Y3:Y22)</f>
        <v/>
      </c>
      <c r="Z23" s="132">
        <f>COUNTIF(Z3:Z22, "*GW*") / COUNTA(Z3:Z22)</f>
        <v/>
      </c>
      <c r="AA23" s="132">
        <f>COUNTIF(AA3:AA22, "*GW*") / COUNTA(AA3:AA22)</f>
        <v/>
      </c>
      <c r="AB23" s="133">
        <f>COUNTIF(AB3:AB22, "*GW*") / COUNTA(AB3:AB22)</f>
        <v/>
      </c>
    </row>
    <row r="24" ht="18.75" customHeight="1" thickBot="1">
      <c r="A24" s="77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</row>
    <row r="25" ht="18.75" customHeight="1" thickBot="1">
      <c r="A25" s="11" t="n"/>
      <c r="B25" s="167" t="inlineStr">
        <is>
          <t>GW X Preview (Deadline: Day Month Dateth @ 3AM PST/6AM EST)</t>
        </is>
      </c>
      <c r="C25" s="168" t="n"/>
      <c r="D25" s="168" t="n"/>
      <c r="E25" s="168" t="n"/>
      <c r="F25" s="168" t="n"/>
      <c r="G25" s="168" t="n"/>
      <c r="H25" s="168" t="n"/>
      <c r="I25" s="168" t="n"/>
      <c r="J25" s="168" t="n"/>
      <c r="K25" s="168" t="n"/>
      <c r="L25" s="168" t="n"/>
      <c r="M25" s="168" t="n"/>
      <c r="N25" s="216" t="n"/>
      <c r="P25" s="170" t="inlineStr">
        <is>
          <t>Null</t>
        </is>
      </c>
      <c r="Q25" s="135" t="n"/>
      <c r="R25" s="135" t="n"/>
      <c r="S25" s="135" t="n"/>
      <c r="T25" s="135" t="n"/>
      <c r="U25" s="135" t="n"/>
      <c r="V25" s="135" t="n"/>
      <c r="W25" s="135" t="n"/>
      <c r="X25" s="135" t="n"/>
      <c r="Y25" s="148" t="n"/>
      <c r="Z25" s="78" t="n"/>
      <c r="AA25" s="11" t="n"/>
      <c r="AB25" s="11" t="n"/>
    </row>
    <row r="26" ht="18.75" customHeight="1">
      <c r="A26" s="11" t="n"/>
      <c r="B26" s="174" t="inlineStr">
        <is>
          <t>Matchup 1</t>
        </is>
      </c>
      <c r="C26" s="157" t="n"/>
      <c r="D26" s="158" t="n"/>
      <c r="E26" s="156" t="inlineStr">
        <is>
          <t>Teams</t>
        </is>
      </c>
      <c r="F26" s="157" t="n"/>
      <c r="G26" s="157" t="n"/>
      <c r="H26" s="157" t="n"/>
      <c r="I26" s="158" t="n"/>
      <c r="J26" s="171" t="inlineStr">
        <is>
          <t>Descr</t>
        </is>
      </c>
      <c r="K26" s="157" t="n"/>
      <c r="L26" s="157" t="n"/>
      <c r="M26" s="157" t="n"/>
      <c r="N26" s="158" t="n"/>
      <c r="P26" s="153" t="inlineStr">
        <is>
          <t>-</t>
        </is>
      </c>
      <c r="Q26" s="154" t="n"/>
      <c r="R26" s="155" t="n"/>
      <c r="S26" s="163" t="inlineStr">
        <is>
          <t>-</t>
        </is>
      </c>
      <c r="T26" s="154" t="n"/>
      <c r="U26" s="154" t="n"/>
      <c r="V26" s="154" t="n"/>
      <c r="W26" s="154" t="n"/>
      <c r="X26" s="154" t="n"/>
      <c r="Y26" s="155" t="n"/>
      <c r="Z26" s="79" t="n"/>
      <c r="AA26" s="11" t="n"/>
      <c r="AB26" s="11" t="n"/>
    </row>
    <row r="27" ht="18.75" customHeight="1">
      <c r="A27" s="11" t="n"/>
      <c r="B27" s="139" t="inlineStr">
        <is>
          <t>Match 2</t>
        </is>
      </c>
      <c r="C27" s="140" t="n"/>
      <c r="D27" s="141" t="n"/>
      <c r="E27" s="150" t="inlineStr">
        <is>
          <t>Teams</t>
        </is>
      </c>
      <c r="F27" s="140" t="n"/>
      <c r="G27" s="140" t="n"/>
      <c r="H27" s="140" t="n"/>
      <c r="I27" s="141" t="n"/>
      <c r="J27" s="166" t="inlineStr">
        <is>
          <t>Descr</t>
        </is>
      </c>
      <c r="K27" s="140" t="n"/>
      <c r="L27" s="140" t="n"/>
      <c r="M27" s="140" t="n"/>
      <c r="N27" s="141" t="n"/>
      <c r="P27" s="139" t="inlineStr">
        <is>
          <t>-</t>
        </is>
      </c>
      <c r="Q27" s="140" t="n"/>
      <c r="R27" s="141" t="n"/>
      <c r="S27" s="162" t="inlineStr">
        <is>
          <t>-</t>
        </is>
      </c>
      <c r="T27" s="140" t="n"/>
      <c r="U27" s="140" t="n"/>
      <c r="V27" s="140" t="n"/>
      <c r="W27" s="140" t="n"/>
      <c r="X27" s="140" t="n"/>
      <c r="Y27" s="141" t="n"/>
      <c r="Z27" s="79" t="n"/>
      <c r="AA27" s="11" t="n"/>
      <c r="AB27" s="11" t="n"/>
    </row>
    <row r="28" ht="18.75" customHeight="1" thickBot="1">
      <c r="A28" s="11" t="n"/>
      <c r="B28" s="149" t="inlineStr">
        <is>
          <t>Match 3</t>
        </is>
      </c>
      <c r="C28" s="143" t="n"/>
      <c r="D28" s="144" t="n"/>
      <c r="E28" s="164" t="inlineStr">
        <is>
          <t>Teams</t>
        </is>
      </c>
      <c r="F28" s="143" t="n"/>
      <c r="G28" s="143" t="n"/>
      <c r="H28" s="143" t="n"/>
      <c r="I28" s="144" t="n"/>
      <c r="J28" s="145" t="inlineStr">
        <is>
          <t>Descr</t>
        </is>
      </c>
      <c r="K28" s="143" t="n"/>
      <c r="L28" s="143" t="n"/>
      <c r="M28" s="143" t="n"/>
      <c r="N28" s="144" t="n"/>
      <c r="P28" s="139" t="inlineStr">
        <is>
          <t>-</t>
        </is>
      </c>
      <c r="Q28" s="140" t="n"/>
      <c r="R28" s="141" t="n"/>
      <c r="S28" s="162" t="inlineStr">
        <is>
          <t>-</t>
        </is>
      </c>
      <c r="T28" s="140" t="n"/>
      <c r="U28" s="140" t="n"/>
      <c r="V28" s="140" t="n"/>
      <c r="W28" s="140" t="n"/>
      <c r="X28" s="140" t="n"/>
      <c r="Y28" s="141" t="n"/>
      <c r="Z28" s="79" t="n"/>
      <c r="AA28" s="11" t="n"/>
      <c r="AB28" s="11" t="n"/>
    </row>
    <row r="29" ht="18.75" customHeight="1">
      <c r="A29" s="11" t="n"/>
      <c r="B29" s="80" t="n"/>
      <c r="C29" s="80" t="n"/>
      <c r="D29" s="80" t="n"/>
      <c r="E29" s="81" t="n"/>
      <c r="F29" s="81" t="n"/>
      <c r="G29" s="81" t="n"/>
      <c r="H29" s="81" t="n"/>
      <c r="I29" s="81" t="n"/>
      <c r="J29" s="79" t="n"/>
      <c r="K29" s="79" t="n"/>
      <c r="L29" s="79" t="n"/>
      <c r="M29" s="79" t="n"/>
      <c r="N29" s="79" t="n"/>
      <c r="P29" s="139" t="inlineStr">
        <is>
          <t>-</t>
        </is>
      </c>
      <c r="Q29" s="140" t="n"/>
      <c r="R29" s="141" t="n"/>
      <c r="S29" s="162" t="inlineStr">
        <is>
          <t>-</t>
        </is>
      </c>
      <c r="T29" s="140" t="n"/>
      <c r="U29" s="140" t="n"/>
      <c r="V29" s="140" t="n"/>
      <c r="W29" s="140" t="n"/>
      <c r="X29" s="140" t="n"/>
      <c r="Y29" s="141" t="n"/>
      <c r="Z29" s="79" t="n"/>
      <c r="AA29" s="11" t="n"/>
      <c r="AB29" s="11" t="n"/>
    </row>
    <row r="30" ht="18.75" customHeight="1" thickBot="1">
      <c r="A30" s="11" t="n"/>
      <c r="B30" s="80" t="n"/>
      <c r="C30" s="80" t="n"/>
      <c r="D30" s="80" t="n"/>
      <c r="E30" s="81" t="n"/>
      <c r="F30" s="81" t="n"/>
      <c r="G30" s="81" t="n"/>
      <c r="H30" s="81" t="n"/>
      <c r="I30" s="81" t="n"/>
      <c r="J30" s="79" t="n"/>
      <c r="K30" s="79" t="n"/>
      <c r="L30" s="79" t="n"/>
      <c r="M30" s="79" t="n"/>
      <c r="N30" s="79" t="n"/>
      <c r="P30" s="149" t="inlineStr">
        <is>
          <t>-</t>
        </is>
      </c>
      <c r="Q30" s="143" t="n"/>
      <c r="R30" s="144" t="n"/>
      <c r="S30" s="142" t="inlineStr">
        <is>
          <t>-</t>
        </is>
      </c>
      <c r="T30" s="143" t="n"/>
      <c r="U30" s="143" t="n"/>
      <c r="V30" s="143" t="n"/>
      <c r="W30" s="143" t="n"/>
      <c r="X30" s="143" t="n"/>
      <c r="Y30" s="144" t="n"/>
      <c r="Z30" s="79" t="n"/>
      <c r="AA30" s="11" t="n"/>
      <c r="AB30" s="11" t="n"/>
    </row>
    <row r="31" ht="18.75" customHeight="1" thickBot="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  <c r="AA31" s="11" t="n"/>
      <c r="AB31" s="11" t="n"/>
    </row>
    <row r="32" ht="18.75" customHeight="1" thickBot="1">
      <c r="A32" s="11" t="n"/>
      <c r="B32" s="147" t="inlineStr">
        <is>
          <t>Table By Score</t>
        </is>
      </c>
      <c r="C32" s="135" t="n"/>
      <c r="D32" s="135" t="n"/>
      <c r="E32" s="135" t="n"/>
      <c r="F32" s="135" t="n"/>
      <c r="G32" s="135" t="n"/>
      <c r="H32" s="135" t="n"/>
      <c r="I32" s="135" t="n"/>
      <c r="J32" s="135" t="n"/>
      <c r="K32" s="135" t="n"/>
      <c r="L32" s="135" t="n"/>
      <c r="M32" s="135" t="n"/>
      <c r="N32" s="148" t="n"/>
      <c r="P32" s="134" t="inlineStr">
        <is>
          <t>loading…</t>
        </is>
      </c>
      <c r="Q32" s="135" t="n"/>
      <c r="R32" s="135" t="n"/>
      <c r="S32" s="135" t="n"/>
      <c r="T32" s="135" t="n"/>
      <c r="U32" s="135" t="n"/>
      <c r="V32" s="135" t="n"/>
      <c r="W32" s="135" t="n"/>
      <c r="X32" s="135" t="n"/>
      <c r="Y32" s="136" t="n"/>
      <c r="Z32" s="11" t="n"/>
      <c r="AA32" s="11" t="n"/>
      <c r="AB32" s="11" t="n"/>
    </row>
    <row r="33" ht="15.75" customHeight="1" thickBot="1">
      <c r="A33" s="11" t="n"/>
      <c r="B33" s="147" t="inlineStr">
        <is>
          <t>Position</t>
        </is>
      </c>
      <c r="C33" s="16" t="inlineStr">
        <is>
          <t>AP</t>
        </is>
      </c>
      <c r="D33" s="217" t="inlineStr">
        <is>
          <t>Team</t>
        </is>
      </c>
      <c r="E33" s="217" t="inlineStr">
        <is>
          <t>Owner</t>
        </is>
      </c>
      <c r="F33" s="218" t="inlineStr">
        <is>
          <t>Points</t>
        </is>
      </c>
      <c r="G33" s="217" t="inlineStr">
        <is>
          <t>Wins</t>
        </is>
      </c>
      <c r="H33" s="217" t="inlineStr">
        <is>
          <t>Draws</t>
        </is>
      </c>
      <c r="I33" s="217" t="inlineStr">
        <is>
          <t>Losses</t>
        </is>
      </c>
      <c r="J33" s="217" t="inlineStr">
        <is>
          <t>GP</t>
        </is>
      </c>
      <c r="K33" s="217" t="inlineStr">
        <is>
          <t>Games Left</t>
        </is>
      </c>
      <c r="L33" s="217" t="inlineStr">
        <is>
          <t>Score</t>
        </is>
      </c>
      <c r="M33" s="218" t="inlineStr">
        <is>
          <t>Score Against</t>
        </is>
      </c>
      <c r="N33" s="218" t="inlineStr">
        <is>
          <t>Plus/Minus</t>
        </is>
      </c>
      <c r="P33" s="19" t="inlineStr">
        <is>
          <t>Team And Current Difficulty Ranking</t>
        </is>
      </c>
      <c r="Q33" s="14" t="inlineStr">
        <is>
          <t>Owner and Previous DR</t>
        </is>
      </c>
      <c r="R33" s="12" t="inlineStr">
        <is>
          <t>Next Opponent</t>
        </is>
      </c>
      <c r="S33" s="13" t="inlineStr">
        <is>
          <t>Rating</t>
        </is>
      </c>
      <c r="T33" s="12" t="inlineStr">
        <is>
          <t>Next Opponent</t>
        </is>
      </c>
      <c r="U33" s="15" t="inlineStr">
        <is>
          <t>Rating</t>
        </is>
      </c>
      <c r="V33" s="12" t="inlineStr">
        <is>
          <t>Next Opponent</t>
        </is>
      </c>
      <c r="W33" s="13" t="inlineStr">
        <is>
          <t>Rating</t>
        </is>
      </c>
      <c r="X33" s="12" t="inlineStr">
        <is>
          <t>Next Opponent</t>
        </is>
      </c>
      <c r="Y33" s="13" t="inlineStr">
        <is>
          <t>Rating</t>
        </is>
      </c>
      <c r="Z33" s="11" t="n"/>
    </row>
    <row r="34" ht="15.75" customHeight="1" thickBot="1">
      <c r="A34" s="11" t="n"/>
      <c r="B34" s="190" t="n">
        <v>1</v>
      </c>
      <c r="C34" s="206">
        <f>INDEX(C$2:C$22, MATCH(D34, D$2:D$22, 0))</f>
        <v/>
      </c>
      <c r="D34" s="200" t="inlineStr">
        <is>
          <t>Klopp's Resurgence</t>
        </is>
      </c>
      <c r="E34" s="181" t="inlineStr">
        <is>
          <t>Chandler Ashman</t>
        </is>
      </c>
      <c r="F34" s="10" t="n">
        <v>0</v>
      </c>
      <c r="G34" s="134" t="n">
        <v>0</v>
      </c>
      <c r="H34" s="23" t="n">
        <v>0</v>
      </c>
      <c r="I34" s="24" t="n">
        <v>0</v>
      </c>
      <c r="J34" s="25" t="n">
        <v>0</v>
      </c>
      <c r="K34" s="26" t="n">
        <v>38</v>
      </c>
      <c r="L34" s="219" t="n">
        <v>64</v>
      </c>
      <c r="M34" s="134" t="n">
        <v>27</v>
      </c>
      <c r="N34" s="282" t="n">
        <v>37</v>
      </c>
      <c r="P34" s="33" t="n"/>
      <c r="Q34" s="33" t="n"/>
      <c r="R34" s="34" t="n"/>
      <c r="S34" s="34" t="n"/>
      <c r="T34" s="34" t="n"/>
      <c r="U34" s="34" t="n"/>
      <c r="V34" s="34" t="n"/>
      <c r="W34" s="34" t="n"/>
      <c r="X34" s="34" t="n"/>
      <c r="Y34" s="34" t="n"/>
      <c r="Z34" s="11" t="n"/>
    </row>
    <row r="35" ht="15.75" customHeight="1">
      <c r="A35" s="11" t="n"/>
      <c r="B35" s="191" t="n">
        <v>2</v>
      </c>
      <c r="C35" s="36">
        <f>INDEX(C$2:C$22, MATCH(D35, D$2:D$22, 0))</f>
        <v/>
      </c>
      <c r="D35" s="201" t="inlineStr">
        <is>
          <t>Peaky Reijnders</t>
        </is>
      </c>
      <c r="E35" s="182" t="inlineStr">
        <is>
          <t>Marvin Ling</t>
        </is>
      </c>
      <c r="F35" s="31" t="n">
        <v>0</v>
      </c>
      <c r="G35" s="156" t="n">
        <v>0</v>
      </c>
      <c r="H35" s="32" t="n">
        <v>0</v>
      </c>
      <c r="I35" s="33" t="n">
        <v>0</v>
      </c>
      <c r="J35" s="34" t="n">
        <v>0</v>
      </c>
      <c r="K35" s="35" t="n">
        <v>38</v>
      </c>
      <c r="L35" s="227" t="n">
        <v>60</v>
      </c>
      <c r="M35" s="156" t="n">
        <v>41</v>
      </c>
      <c r="N35" s="33" t="n">
        <v>19</v>
      </c>
      <c r="P35" s="42" t="n"/>
      <c r="Q35" s="42" t="n"/>
      <c r="R35" s="162" t="n"/>
      <c r="S35" s="162" t="n"/>
      <c r="T35" s="162" t="n"/>
      <c r="U35" s="162" t="n"/>
      <c r="V35" s="162" t="n"/>
      <c r="W35" s="162" t="n"/>
      <c r="X35" s="162" t="n"/>
      <c r="Y35" s="162" t="n"/>
      <c r="Z35" s="11" t="n"/>
    </row>
    <row r="36" ht="15.75" customHeight="1">
      <c r="A36" s="11" t="n"/>
      <c r="B36" s="192" t="n">
        <v>3</v>
      </c>
      <c r="C36" s="137">
        <f>INDEX(C$2:C$22, MATCH(D36, D$2:D$22, 0))</f>
        <v/>
      </c>
      <c r="D36" s="202" t="inlineStr">
        <is>
          <t>Cech Mate</t>
        </is>
      </c>
      <c r="E36" s="183" t="inlineStr">
        <is>
          <t>Tyler Neal</t>
        </is>
      </c>
      <c r="F36" s="40" t="n">
        <v>0</v>
      </c>
      <c r="G36" s="150" t="n">
        <v>0</v>
      </c>
      <c r="H36" s="117" t="n">
        <v>0</v>
      </c>
      <c r="I36" s="42" t="n">
        <v>0</v>
      </c>
      <c r="J36" s="162" t="n">
        <v>0</v>
      </c>
      <c r="K36" s="43" t="n">
        <v>38</v>
      </c>
      <c r="L36" s="236" t="n">
        <v>53</v>
      </c>
      <c r="M36" s="150" t="n">
        <v>42</v>
      </c>
      <c r="N36" s="42" t="n">
        <v>11</v>
      </c>
      <c r="P36" s="42" t="n"/>
      <c r="Q36" s="42" t="n"/>
      <c r="R36" s="162" t="n"/>
      <c r="S36" s="162" t="n"/>
      <c r="T36" s="162" t="n"/>
      <c r="U36" s="162" t="n"/>
      <c r="V36" s="162" t="n"/>
      <c r="W36" s="162" t="n"/>
      <c r="X36" s="162" t="n"/>
      <c r="Y36" s="162" t="n"/>
      <c r="Z36" s="11" t="n"/>
    </row>
    <row r="37" ht="15.75" customHeight="1" thickBot="1">
      <c r="A37" s="11" t="n"/>
      <c r="B37" s="193" t="n">
        <v>4</v>
      </c>
      <c r="C37" s="52">
        <f>INDEX(C$2:C$22, MATCH(D37, D$2:D$22, 0))</f>
        <v/>
      </c>
      <c r="D37" s="203" t="inlineStr">
        <is>
          <t>Cheeks FC</t>
        </is>
      </c>
      <c r="E37" s="184" t="inlineStr">
        <is>
          <t>Rehan Khan</t>
        </is>
      </c>
      <c r="F37" s="48" t="n">
        <v>0</v>
      </c>
      <c r="G37" s="164" t="n">
        <v>0</v>
      </c>
      <c r="H37" s="49" t="n">
        <v>0</v>
      </c>
      <c r="I37" s="50" t="n">
        <v>0</v>
      </c>
      <c r="J37" s="142" t="n">
        <v>0</v>
      </c>
      <c r="K37" s="51" t="n">
        <v>38</v>
      </c>
      <c r="L37" s="52" t="n">
        <v>50</v>
      </c>
      <c r="M37" s="164" t="n">
        <v>27</v>
      </c>
      <c r="N37" s="283" t="n">
        <v>23</v>
      </c>
      <c r="P37" s="42" t="n"/>
      <c r="Q37" s="42" t="n"/>
      <c r="R37" s="162" t="n"/>
      <c r="S37" s="162" t="n"/>
      <c r="T37" s="162" t="n"/>
      <c r="U37" s="162" t="n"/>
      <c r="V37" s="162" t="n"/>
      <c r="W37" s="162" t="n"/>
      <c r="X37" s="162" t="n"/>
      <c r="Y37" s="162" t="n"/>
      <c r="Z37" s="11" t="n"/>
    </row>
    <row r="38" ht="15.75" customHeight="1">
      <c r="A38" s="11" t="n"/>
      <c r="B38" s="194" t="n">
        <v>5</v>
      </c>
      <c r="C38" s="36">
        <f>INDEX(C$2:C$22, MATCH(D38, D$2:D$22, 0))</f>
        <v/>
      </c>
      <c r="D38" s="204" t="inlineStr">
        <is>
          <t>Boogie Woogie</t>
        </is>
      </c>
      <c r="E38" s="185" t="inlineStr">
        <is>
          <t>James Giles</t>
        </is>
      </c>
      <c r="F38" s="56" t="n">
        <v>0</v>
      </c>
      <c r="G38" s="57" t="n">
        <v>0</v>
      </c>
      <c r="H38" s="58" t="n">
        <v>0</v>
      </c>
      <c r="I38" s="59" t="n">
        <v>0</v>
      </c>
      <c r="J38" s="163" t="n">
        <v>0</v>
      </c>
      <c r="K38" s="60" t="n">
        <v>38</v>
      </c>
      <c r="L38" s="179" t="n">
        <v>42</v>
      </c>
      <c r="M38" s="284" t="n">
        <v>53</v>
      </c>
      <c r="N38" s="59" t="n">
        <v>-11</v>
      </c>
      <c r="P38" s="42" t="n"/>
      <c r="Q38" s="42" t="n"/>
      <c r="R38" s="162" t="n"/>
      <c r="S38" s="162" t="n"/>
      <c r="T38" s="162" t="n"/>
      <c r="U38" s="162" t="n"/>
      <c r="V38" s="162" t="n"/>
      <c r="W38" s="162" t="n"/>
      <c r="X38" s="162" t="n"/>
      <c r="Y38" s="162" t="n"/>
      <c r="Z38" s="11" t="n"/>
    </row>
    <row r="39" ht="15.75" customHeight="1" thickBot="1">
      <c r="A39" s="11" t="n"/>
      <c r="B39" s="195" t="n">
        <v>6</v>
      </c>
      <c r="C39" s="52">
        <f>INDEX(C$2:C$22, MATCH(D39, D$2:D$22, 0))</f>
        <v/>
      </c>
      <c r="D39" s="205" t="inlineStr">
        <is>
          <t>Carter's Angels</t>
        </is>
      </c>
      <c r="E39" s="186" t="inlineStr">
        <is>
          <t>Carter WitmerGautsch</t>
        </is>
      </c>
      <c r="F39" s="65" t="n">
        <v>0</v>
      </c>
      <c r="G39" s="66" t="n">
        <v>0</v>
      </c>
      <c r="H39" s="67" t="n">
        <v>0</v>
      </c>
      <c r="I39" s="68" t="n">
        <v>0</v>
      </c>
      <c r="J39" s="69" t="n">
        <v>0</v>
      </c>
      <c r="K39" s="70" t="n">
        <v>38</v>
      </c>
      <c r="L39" s="151" t="n">
        <v>41</v>
      </c>
      <c r="M39" s="285" t="n">
        <v>60</v>
      </c>
      <c r="N39" s="68" t="n">
        <v>-19</v>
      </c>
      <c r="P39" s="42" t="n"/>
      <c r="Q39" s="42" t="n"/>
      <c r="R39" s="162" t="n"/>
      <c r="S39" s="162" t="n"/>
      <c r="T39" s="162" t="n"/>
      <c r="U39" s="162" t="n"/>
      <c r="V39" s="162" t="n"/>
      <c r="W39" s="162" t="n"/>
      <c r="X39" s="162" t="n"/>
      <c r="Y39" s="162" t="n"/>
      <c r="Z39" s="11" t="n"/>
    </row>
    <row r="40" ht="15.75" customHeight="1" thickBot="1">
      <c r="A40" s="11" t="n"/>
      <c r="B40" s="196" t="n">
        <v>7</v>
      </c>
      <c r="C40" s="180">
        <f>INDEX(C$2:C$22, MATCH(D40, D$2:D$22, 0))</f>
        <v/>
      </c>
      <c r="D40" s="200" t="inlineStr">
        <is>
          <t>Cincy Til I Cry</t>
        </is>
      </c>
      <c r="E40" s="181" t="inlineStr">
        <is>
          <t>Tyler Quedens</t>
        </is>
      </c>
      <c r="F40" s="10" t="n">
        <v>0</v>
      </c>
      <c r="G40" s="134" t="n">
        <v>0</v>
      </c>
      <c r="H40" s="23" t="n">
        <v>0</v>
      </c>
      <c r="I40" s="24" t="n">
        <v>0</v>
      </c>
      <c r="J40" s="25" t="n">
        <v>0</v>
      </c>
      <c r="K40" s="26" t="n">
        <v>38</v>
      </c>
      <c r="L40" s="180" t="n">
        <v>39</v>
      </c>
      <c r="M40" s="221" t="n">
        <v>16</v>
      </c>
      <c r="N40" s="279" t="n">
        <v>23</v>
      </c>
      <c r="P40" s="42" t="n"/>
      <c r="Q40" s="42" t="n"/>
      <c r="R40" s="162" t="n"/>
      <c r="S40" s="162" t="n"/>
      <c r="T40" s="162" t="n"/>
      <c r="U40" s="162" t="n"/>
      <c r="V40" s="162" t="n"/>
      <c r="W40" s="162" t="n"/>
      <c r="X40" s="162" t="n"/>
      <c r="Y40" s="162" t="n"/>
      <c r="Z40" s="11" t="n"/>
    </row>
    <row r="41" ht="15.75" customHeight="1">
      <c r="A41" s="11" t="n"/>
      <c r="B41" s="118" t="n">
        <v>8</v>
      </c>
      <c r="C41" s="36">
        <f>INDEX(C$2:C$22, MATCH(D41, D$2:D$22, 0))</f>
        <v/>
      </c>
      <c r="D41" s="204" t="inlineStr">
        <is>
          <t>Slopeds FC</t>
        </is>
      </c>
      <c r="E41" s="185" t="inlineStr">
        <is>
          <t>Michael Giles</t>
        </is>
      </c>
      <c r="F41" s="56" t="n">
        <v>0</v>
      </c>
      <c r="G41" s="57" t="n">
        <v>0</v>
      </c>
      <c r="H41" s="58" t="n">
        <v>0</v>
      </c>
      <c r="I41" s="59" t="n">
        <v>0</v>
      </c>
      <c r="J41" s="163" t="n">
        <v>0</v>
      </c>
      <c r="K41" s="60" t="n">
        <v>38</v>
      </c>
      <c r="L41" s="179" t="n">
        <v>39</v>
      </c>
      <c r="M41" s="57" t="n">
        <v>26</v>
      </c>
      <c r="N41" s="59" t="n">
        <v>13</v>
      </c>
      <c r="P41" s="42" t="n"/>
      <c r="Q41" s="42" t="n"/>
      <c r="R41" s="162" t="n"/>
      <c r="S41" s="162" t="n"/>
      <c r="T41" s="162" t="n"/>
      <c r="U41" s="162" t="n"/>
      <c r="V41" s="162" t="n"/>
      <c r="W41" s="162" t="n"/>
      <c r="X41" s="162" t="n"/>
      <c r="Y41" s="162" t="n"/>
      <c r="Z41" s="11" t="n"/>
    </row>
    <row r="42" ht="15.75" customHeight="1">
      <c r="A42" s="11" t="n"/>
      <c r="B42" s="116" t="n">
        <v>9</v>
      </c>
      <c r="C42" s="137">
        <f>INDEX(C$2:C$22, MATCH(D42, D$2:D$22, 0))</f>
        <v/>
      </c>
      <c r="D42" s="202" t="inlineStr">
        <is>
          <t>Mandem FC</t>
        </is>
      </c>
      <c r="E42" s="183" t="inlineStr">
        <is>
          <t>Kamil Sacha</t>
        </is>
      </c>
      <c r="F42" s="40" t="n">
        <v>0</v>
      </c>
      <c r="G42" s="150" t="n">
        <v>0</v>
      </c>
      <c r="H42" s="117" t="n">
        <v>0</v>
      </c>
      <c r="I42" s="42" t="n">
        <v>0</v>
      </c>
      <c r="J42" s="162" t="n">
        <v>0</v>
      </c>
      <c r="K42" s="43" t="n">
        <v>38</v>
      </c>
      <c r="L42" s="137" t="n">
        <v>39</v>
      </c>
      <c r="M42" s="150" t="n">
        <v>33</v>
      </c>
      <c r="N42" s="42" t="n">
        <v>6</v>
      </c>
      <c r="P42" s="42" t="n"/>
      <c r="Q42" s="42" t="n"/>
      <c r="R42" s="162" t="n"/>
      <c r="S42" s="162" t="n"/>
      <c r="T42" s="162" t="n"/>
      <c r="U42" s="162" t="n"/>
      <c r="V42" s="162" t="n"/>
      <c r="W42" s="162" t="n"/>
      <c r="X42" s="162" t="n"/>
      <c r="Y42" s="162" t="n"/>
      <c r="Z42" s="11" t="n"/>
    </row>
    <row r="43" ht="15.75" customHeight="1">
      <c r="A43" s="11" t="n"/>
      <c r="B43" s="116" t="n">
        <v>10</v>
      </c>
      <c r="C43" s="137">
        <f>INDEX(C$2:C$22, MATCH(D43, D$2:D$22, 0))</f>
        <v/>
      </c>
      <c r="D43" s="202" t="inlineStr">
        <is>
          <t>Bend It Like Declan</t>
        </is>
      </c>
      <c r="E43" s="183" t="inlineStr">
        <is>
          <t>Derek Huddleston</t>
        </is>
      </c>
      <c r="F43" s="40" t="n">
        <v>0</v>
      </c>
      <c r="G43" s="150" t="n">
        <v>0</v>
      </c>
      <c r="H43" s="117" t="n">
        <v>0</v>
      </c>
      <c r="I43" s="42" t="n">
        <v>0</v>
      </c>
      <c r="J43" s="162" t="n">
        <v>0</v>
      </c>
      <c r="K43" s="43" t="n">
        <v>38</v>
      </c>
      <c r="L43" s="137" t="n">
        <v>37</v>
      </c>
      <c r="M43" s="150" t="n">
        <v>36</v>
      </c>
      <c r="N43" s="42" t="n">
        <v>1</v>
      </c>
      <c r="P43" s="42" t="n"/>
      <c r="Q43" s="42" t="n"/>
      <c r="R43" s="162" t="n"/>
      <c r="S43" s="162" t="n"/>
      <c r="T43" s="162" t="n"/>
      <c r="U43" s="162" t="n"/>
      <c r="V43" s="162" t="n"/>
      <c r="W43" s="162" t="n"/>
      <c r="X43" s="162" t="n"/>
      <c r="Y43" s="162" t="n"/>
      <c r="Z43" s="11" t="n"/>
    </row>
    <row r="44" ht="15.75" customHeight="1">
      <c r="A44" s="11" t="n"/>
      <c r="B44" s="116" t="n">
        <v>11</v>
      </c>
      <c r="C44" s="137">
        <f>INDEX(C$2:C$22, MATCH(D44, D$2:D$22, 0))</f>
        <v/>
      </c>
      <c r="D44" s="202" t="inlineStr">
        <is>
          <t>Aches and Pains</t>
        </is>
      </c>
      <c r="E44" s="183" t="inlineStr">
        <is>
          <t>Imran khan</t>
        </is>
      </c>
      <c r="F44" s="40" t="n">
        <v>0</v>
      </c>
      <c r="G44" s="150" t="n">
        <v>0</v>
      </c>
      <c r="H44" s="117" t="n">
        <v>0</v>
      </c>
      <c r="I44" s="42" t="n">
        <v>0</v>
      </c>
      <c r="J44" s="162" t="n">
        <v>0</v>
      </c>
      <c r="K44" s="43" t="n">
        <v>38</v>
      </c>
      <c r="L44" s="137" t="n">
        <v>36</v>
      </c>
      <c r="M44" s="150" t="n">
        <v>37</v>
      </c>
      <c r="N44" s="42" t="n">
        <v>-1</v>
      </c>
      <c r="P44" s="42" t="n"/>
      <c r="Q44" s="42" t="n"/>
      <c r="R44" s="162" t="n"/>
      <c r="S44" s="162" t="n"/>
      <c r="T44" s="162" t="n"/>
      <c r="U44" s="162" t="n"/>
      <c r="V44" s="162" t="n"/>
      <c r="W44" s="162" t="n"/>
      <c r="X44" s="162" t="n"/>
      <c r="Y44" s="162" t="n"/>
      <c r="Z44" s="11" t="n"/>
    </row>
    <row r="45" ht="15.75" customHeight="1">
      <c r="A45" s="11" t="n"/>
      <c r="B45" s="116" t="n">
        <v>12</v>
      </c>
      <c r="C45" s="137">
        <f>INDEX(C$2:C$22, MATCH(D45, D$2:D$22, 0))</f>
        <v/>
      </c>
      <c r="D45" s="202" t="inlineStr">
        <is>
          <t>Too Slot to Handle</t>
        </is>
      </c>
      <c r="E45" s="183" t="inlineStr">
        <is>
          <t>Julian Tarazi</t>
        </is>
      </c>
      <c r="F45" s="40" t="n">
        <v>0</v>
      </c>
      <c r="G45" s="150" t="n">
        <v>0</v>
      </c>
      <c r="H45" s="117" t="n">
        <v>0</v>
      </c>
      <c r="I45" s="42" t="n">
        <v>0</v>
      </c>
      <c r="J45" s="162" t="n">
        <v>0</v>
      </c>
      <c r="K45" s="43" t="n">
        <v>38</v>
      </c>
      <c r="L45" s="137" t="n">
        <v>35</v>
      </c>
      <c r="M45" s="286" t="n">
        <v>22</v>
      </c>
      <c r="N45" s="42" t="n">
        <v>13</v>
      </c>
      <c r="P45" s="42" t="n"/>
      <c r="Q45" s="42" t="n"/>
      <c r="R45" s="162" t="n"/>
      <c r="S45" s="162" t="n"/>
      <c r="T45" s="162" t="n"/>
      <c r="U45" s="162" t="n"/>
      <c r="V45" s="162" t="n"/>
      <c r="W45" s="162" t="n"/>
      <c r="X45" s="162" t="n"/>
      <c r="Y45" s="162" t="n"/>
      <c r="Z45" s="11" t="n"/>
    </row>
    <row r="46" ht="15.75" customHeight="1">
      <c r="A46" s="11" t="n"/>
      <c r="B46" s="116" t="n">
        <v>13</v>
      </c>
      <c r="C46" s="137">
        <f>INDEX(C$2:C$22, MATCH(D46, D$2:D$22, 0))</f>
        <v/>
      </c>
      <c r="D46" s="202" t="inlineStr">
        <is>
          <t>lamine yamal party</t>
        </is>
      </c>
      <c r="E46" s="183" t="inlineStr">
        <is>
          <t>Hanson Xia</t>
        </is>
      </c>
      <c r="F46" s="40" t="n">
        <v>0</v>
      </c>
      <c r="G46" s="150" t="n">
        <v>0</v>
      </c>
      <c r="H46" s="117" t="n">
        <v>0</v>
      </c>
      <c r="I46" s="42" t="n">
        <v>0</v>
      </c>
      <c r="J46" s="162" t="n">
        <v>0</v>
      </c>
      <c r="K46" s="43" t="n">
        <v>38</v>
      </c>
      <c r="L46" s="137" t="n">
        <v>33</v>
      </c>
      <c r="M46" s="150" t="n">
        <v>39</v>
      </c>
      <c r="N46" s="42" t="n">
        <v>-6</v>
      </c>
      <c r="P46" s="42" t="n"/>
      <c r="Q46" s="42" t="n"/>
      <c r="R46" s="162" t="n"/>
      <c r="S46" s="162" t="n"/>
      <c r="T46" s="162" t="n"/>
      <c r="U46" s="162" t="n"/>
      <c r="V46" s="162" t="n"/>
      <c r="W46" s="162" t="n"/>
      <c r="X46" s="162" t="n"/>
      <c r="Y46" s="162" t="n"/>
      <c r="Z46" s="11" t="n"/>
    </row>
    <row r="47" ht="15.75" customHeight="1">
      <c r="A47" s="11" t="n"/>
      <c r="B47" s="116" t="n">
        <v>14</v>
      </c>
      <c r="C47" s="137">
        <f>INDEX(C$2:C$22, MATCH(D47, D$2:D$22, 0))</f>
        <v/>
      </c>
      <c r="D47" s="202" t="inlineStr">
        <is>
          <t>Siuuuuuu Later</t>
        </is>
      </c>
      <c r="E47" s="183" t="inlineStr">
        <is>
          <t>Ryan Gallagher</t>
        </is>
      </c>
      <c r="F47" s="40" t="n">
        <v>0</v>
      </c>
      <c r="G47" s="150" t="n">
        <v>0</v>
      </c>
      <c r="H47" s="117" t="n">
        <v>0</v>
      </c>
      <c r="I47" s="42" t="n">
        <v>0</v>
      </c>
      <c r="J47" s="162" t="n">
        <v>0</v>
      </c>
      <c r="K47" s="43" t="n">
        <v>38</v>
      </c>
      <c r="L47" s="137" t="n">
        <v>29</v>
      </c>
      <c r="M47" s="271" t="n">
        <v>19</v>
      </c>
      <c r="N47" s="42" t="n">
        <v>10</v>
      </c>
      <c r="P47" s="42" t="n"/>
      <c r="Q47" s="42" t="n"/>
      <c r="R47" s="162" t="n"/>
      <c r="S47" s="162" t="n"/>
      <c r="T47" s="162" t="n"/>
      <c r="U47" s="162" t="n"/>
      <c r="V47" s="162" t="n"/>
      <c r="W47" s="162" t="n"/>
      <c r="X47" s="162" t="n"/>
      <c r="Y47" s="162" t="n"/>
      <c r="Z47" s="11" t="n"/>
    </row>
    <row r="48" ht="15.75" customHeight="1" thickBot="1">
      <c r="A48" s="11" t="n"/>
      <c r="B48" s="119" t="n">
        <v>15</v>
      </c>
      <c r="C48" s="151">
        <f>INDEX(C$2:C$22, MATCH(D48, D$2:D$22, 0))</f>
        <v/>
      </c>
      <c r="D48" s="205" t="inlineStr">
        <is>
          <t>Noni to be upset</t>
        </is>
      </c>
      <c r="E48" s="186" t="inlineStr">
        <is>
          <t>Joel Mathew</t>
        </is>
      </c>
      <c r="F48" s="65" t="n">
        <v>0</v>
      </c>
      <c r="G48" s="66" t="n">
        <v>0</v>
      </c>
      <c r="H48" s="67" t="n">
        <v>0</v>
      </c>
      <c r="I48" s="68" t="n">
        <v>0</v>
      </c>
      <c r="J48" s="69" t="n">
        <v>0</v>
      </c>
      <c r="K48" s="70" t="n">
        <v>38</v>
      </c>
      <c r="L48" s="151" t="n">
        <v>27</v>
      </c>
      <c r="M48" s="66" t="n">
        <v>50</v>
      </c>
      <c r="N48" s="275" t="n">
        <v>-23</v>
      </c>
      <c r="P48" s="42" t="n"/>
      <c r="Q48" s="42" t="n"/>
      <c r="R48" s="162" t="n"/>
      <c r="S48" s="162" t="n"/>
      <c r="T48" s="162" t="n"/>
      <c r="U48" s="162" t="n"/>
      <c r="V48" s="162" t="n"/>
      <c r="W48" s="162" t="n"/>
      <c r="X48" s="162" t="n"/>
      <c r="Y48" s="162" t="n"/>
      <c r="Z48" s="11" t="n"/>
    </row>
    <row r="49" ht="15.75" customHeight="1" thickBot="1">
      <c r="A49" s="11" t="n"/>
      <c r="B49" s="207" t="n">
        <v>16</v>
      </c>
      <c r="C49" s="180">
        <f>INDEX(C$2:C$22, MATCH(D49, D$2:D$22, 0))</f>
        <v/>
      </c>
      <c r="D49" s="200" t="inlineStr">
        <is>
          <t>Bamford's Baddies</t>
        </is>
      </c>
      <c r="E49" s="181" t="inlineStr">
        <is>
          <t>Aj Pepperney</t>
        </is>
      </c>
      <c r="F49" s="10" t="n">
        <v>0</v>
      </c>
      <c r="G49" s="134" t="n">
        <v>0</v>
      </c>
      <c r="H49" s="23" t="n">
        <v>0</v>
      </c>
      <c r="I49" s="24" t="n">
        <v>0</v>
      </c>
      <c r="J49" s="25" t="n">
        <v>0</v>
      </c>
      <c r="K49" s="26" t="n">
        <v>38</v>
      </c>
      <c r="L49" s="180" t="n">
        <v>27</v>
      </c>
      <c r="M49" s="221" t="n">
        <v>64</v>
      </c>
      <c r="N49" s="287" t="n">
        <v>-37</v>
      </c>
      <c r="P49" s="42" t="n"/>
      <c r="Q49" s="42" t="n"/>
      <c r="R49" s="162" t="n"/>
      <c r="S49" s="162" t="n"/>
      <c r="T49" s="162" t="n"/>
      <c r="U49" s="162" t="n"/>
      <c r="V49" s="162" t="n"/>
      <c r="W49" s="162" t="n"/>
      <c r="X49" s="162" t="n"/>
      <c r="Y49" s="162" t="n"/>
      <c r="Z49" s="11" t="n"/>
    </row>
    <row r="50" ht="15.75" customHeight="1">
      <c r="A50" s="11" t="n"/>
      <c r="B50" s="208" t="n">
        <v>17</v>
      </c>
      <c r="C50" s="36">
        <f>INDEX(C$2:C$22, MATCH(D50, D$2:D$22, 0))</f>
        <v/>
      </c>
      <c r="D50" s="201" t="inlineStr">
        <is>
          <t>GyökGyök9000</t>
        </is>
      </c>
      <c r="E50" s="187" t="inlineStr">
        <is>
          <t>Avi Kumar</t>
        </is>
      </c>
      <c r="F50" s="36" t="n">
        <v>0</v>
      </c>
      <c r="G50" s="34" t="n">
        <v>0</v>
      </c>
      <c r="H50" s="32" t="n">
        <v>0</v>
      </c>
      <c r="I50" s="33" t="n">
        <v>0</v>
      </c>
      <c r="J50" s="34" t="n">
        <v>0</v>
      </c>
      <c r="K50" s="35" t="n">
        <v>38</v>
      </c>
      <c r="L50" s="36" t="n">
        <v>26</v>
      </c>
      <c r="M50" s="156" t="n">
        <v>39</v>
      </c>
      <c r="N50" s="33" t="n">
        <v>-13</v>
      </c>
      <c r="P50" s="42" t="n"/>
      <c r="Q50" s="42" t="n"/>
      <c r="R50" s="162" t="n"/>
      <c r="S50" s="162" t="n"/>
      <c r="T50" s="162" t="n"/>
      <c r="U50" s="162" t="n"/>
      <c r="V50" s="162" t="n"/>
      <c r="W50" s="162" t="n"/>
      <c r="X50" s="162" t="n"/>
      <c r="Y50" s="162" t="n"/>
      <c r="Z50" s="11" t="n"/>
    </row>
    <row r="51" ht="15.75" customHeight="1">
      <c r="A51" s="11" t="n"/>
      <c r="B51" s="197" t="n">
        <v>18</v>
      </c>
      <c r="C51" s="137">
        <f>INDEX(C$2:C$22, MATCH(D51, D$2:D$22, 0))</f>
        <v/>
      </c>
      <c r="D51" s="202" t="inlineStr">
        <is>
          <t>Eze Dub</t>
        </is>
      </c>
      <c r="E51" s="188" t="inlineStr">
        <is>
          <t>Seth Gerus</t>
        </is>
      </c>
      <c r="F51" s="137" t="n">
        <v>0</v>
      </c>
      <c r="G51" s="162" t="n">
        <v>0</v>
      </c>
      <c r="H51" s="117" t="n">
        <v>0</v>
      </c>
      <c r="I51" s="42" t="n">
        <v>0</v>
      </c>
      <c r="J51" s="162" t="n">
        <v>0</v>
      </c>
      <c r="K51" s="43" t="n">
        <v>38</v>
      </c>
      <c r="L51" s="280" t="n">
        <v>22</v>
      </c>
      <c r="M51" s="150" t="n">
        <v>35</v>
      </c>
      <c r="N51" s="42" t="n">
        <v>-13</v>
      </c>
      <c r="P51" s="42" t="n"/>
      <c r="Q51" s="42" t="n"/>
      <c r="R51" s="162" t="n"/>
      <c r="S51" s="162" t="n"/>
      <c r="T51" s="162" t="n"/>
      <c r="U51" s="162" t="n"/>
      <c r="V51" s="162" t="n"/>
      <c r="W51" s="162" t="n"/>
      <c r="X51" s="162" t="n"/>
      <c r="Y51" s="162" t="n"/>
      <c r="Z51" s="11" t="n"/>
    </row>
    <row r="52" ht="15.75" customHeight="1">
      <c r="A52" s="11" t="n"/>
      <c r="B52" s="198" t="n">
        <v>19</v>
      </c>
      <c r="C52" s="137">
        <f>INDEX(C$2:C$22, MATCH(D52, D$2:D$22, 0))</f>
        <v/>
      </c>
      <c r="D52" s="202" t="inlineStr">
        <is>
          <t>Peps Lads</t>
        </is>
      </c>
      <c r="E52" s="188" t="inlineStr">
        <is>
          <t>linden eberle</t>
        </is>
      </c>
      <c r="F52" s="137" t="n">
        <v>0</v>
      </c>
      <c r="G52" s="162" t="n">
        <v>0</v>
      </c>
      <c r="H52" s="117" t="n">
        <v>0</v>
      </c>
      <c r="I52" s="42" t="n">
        <v>0</v>
      </c>
      <c r="J52" s="162" t="n">
        <v>0</v>
      </c>
      <c r="K52" s="43" t="n">
        <v>38</v>
      </c>
      <c r="L52" s="280" t="n">
        <v>19</v>
      </c>
      <c r="M52" s="150" t="n">
        <v>29</v>
      </c>
      <c r="N52" s="42" t="n">
        <v>-10</v>
      </c>
      <c r="P52" s="42" t="n"/>
      <c r="Q52" s="42" t="n"/>
      <c r="R52" s="162" t="n"/>
      <c r="S52" s="162" t="n"/>
      <c r="T52" s="162" t="n"/>
      <c r="U52" s="162" t="n"/>
      <c r="V52" s="162" t="n"/>
      <c r="W52" s="162" t="n"/>
      <c r="X52" s="162" t="n"/>
      <c r="Y52" s="162" t="n"/>
      <c r="Z52" s="11" t="n"/>
    </row>
    <row r="53" ht="15.75" customHeight="1" thickBot="1">
      <c r="A53" s="11" t="n"/>
      <c r="B53" s="199" t="n">
        <v>20</v>
      </c>
      <c r="C53" s="52">
        <f>INDEX(C$2:C$22, MATCH(D53, D$2:D$22, 0))</f>
        <v/>
      </c>
      <c r="D53" s="203" t="inlineStr">
        <is>
          <t>livin saliba loca</t>
        </is>
      </c>
      <c r="E53" s="189" t="inlineStr">
        <is>
          <t>JD Garcia</t>
        </is>
      </c>
      <c r="F53" s="52" t="n">
        <v>0</v>
      </c>
      <c r="G53" s="142" t="n">
        <v>0</v>
      </c>
      <c r="H53" s="49" t="n">
        <v>0</v>
      </c>
      <c r="I53" s="50" t="n">
        <v>0</v>
      </c>
      <c r="J53" s="142" t="n">
        <v>0</v>
      </c>
      <c r="K53" s="51" t="n">
        <v>38</v>
      </c>
      <c r="L53" s="281" t="n">
        <v>16</v>
      </c>
      <c r="M53" s="164" t="n">
        <v>39</v>
      </c>
      <c r="N53" s="288" t="n">
        <v>-23</v>
      </c>
      <c r="P53" s="50" t="n"/>
      <c r="Q53" s="50" t="n"/>
      <c r="R53" s="142" t="n"/>
      <c r="S53" s="142" t="n"/>
      <c r="T53" s="142" t="n"/>
      <c r="U53" s="142" t="n"/>
      <c r="V53" s="142" t="n"/>
      <c r="W53" s="142" t="n"/>
      <c r="X53" s="142" t="n"/>
      <c r="Y53" s="142" t="n"/>
      <c r="Z53" s="11" t="n"/>
    </row>
    <row r="54" ht="15.75" customHeight="1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P54" s="77" t="inlineStr">
        <is>
          <t>Fixture Difficulty Ratings (FDR) follow the same logic as the ones FPL uses to rank a player's upcoming matches.</t>
        </is>
      </c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</row>
    <row r="55" ht="15.75" customHeight="1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P55" s="77" t="inlineStr">
        <is>
          <t>Rankings are 1-5. 1 = "easier",  5 = "harder".</t>
        </is>
      </c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</row>
    <row r="56" ht="15.75" customHeight="1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</row>
    <row r="57" ht="15.75" customHeight="1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Y57" s="11" t="n"/>
      <c r="Z57" s="11" t="n"/>
    </row>
    <row r="58" ht="15.75" customHeight="1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Y58" s="11" t="n"/>
      <c r="Z58" s="11" t="n"/>
    </row>
    <row r="59" ht="15.75" customHeight="1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Y59" s="11" t="n"/>
      <c r="Z59" s="11" t="n"/>
    </row>
    <row r="60" ht="15.75" customHeight="1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Y60" s="11" t="n"/>
      <c r="Z60" s="11" t="n"/>
    </row>
    <row r="61" ht="15.75" customHeight="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Y61" s="11" t="n"/>
      <c r="Z61" s="11" t="n"/>
    </row>
    <row r="62" ht="15.75" customHeight="1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Y62" s="11" t="n"/>
      <c r="Z62" s="11" t="n"/>
    </row>
    <row r="63" ht="15.75" customHeight="1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Y63" s="11" t="n"/>
      <c r="Z63" s="11" t="n"/>
    </row>
    <row r="64" ht="15.75" customHeight="1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Y64" s="11" t="n"/>
      <c r="Z64" s="11" t="n"/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8">
    <mergeCell ref="P32:Y32"/>
    <mergeCell ref="A15:B15"/>
    <mergeCell ref="P27:R27"/>
    <mergeCell ref="S30:Y30"/>
    <mergeCell ref="A11:B11"/>
    <mergeCell ref="J28:N28"/>
    <mergeCell ref="S29:Y29"/>
    <mergeCell ref="A1:N1"/>
    <mergeCell ref="B28:D28"/>
    <mergeCell ref="A16:B16"/>
    <mergeCell ref="S26:Y26"/>
    <mergeCell ref="B32:N32"/>
    <mergeCell ref="P28:R28"/>
    <mergeCell ref="E28:I28"/>
    <mergeCell ref="A18:B18"/>
    <mergeCell ref="J27:N27"/>
    <mergeCell ref="B25:N25"/>
    <mergeCell ref="O1:AB1"/>
    <mergeCell ref="A12:B12"/>
    <mergeCell ref="P25:Y25"/>
    <mergeCell ref="P30:R30"/>
    <mergeCell ref="J26:N26"/>
    <mergeCell ref="A21:B21"/>
    <mergeCell ref="S27:Y27"/>
    <mergeCell ref="B26:D26"/>
    <mergeCell ref="A14:B14"/>
    <mergeCell ref="E27:I27"/>
    <mergeCell ref="A17:B17"/>
    <mergeCell ref="P26:R26"/>
    <mergeCell ref="E26:I26"/>
    <mergeCell ref="A22:B22"/>
    <mergeCell ref="P29:R29"/>
    <mergeCell ref="A20:B20"/>
    <mergeCell ref="S28:Y28"/>
    <mergeCell ref="A19:B19"/>
    <mergeCell ref="A10:B10"/>
    <mergeCell ref="B27:D27"/>
    <mergeCell ref="A13:B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2024-01-07T03:09:30Z</dcterms:created>
  <dcterms:modified xsi:type="dcterms:W3CDTF">2025-08-16T20:46:12Z</dcterms:modified>
  <cp:lastModifiedBy>Rehan Khan</cp:lastModifiedBy>
  <cp:lastPrinted>2025-03-07T22:08:57Z</cp:lastPrinted>
</cp:coreProperties>
</file>